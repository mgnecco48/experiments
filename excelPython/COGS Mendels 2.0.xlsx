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showInkAnnotation="0"/>
  <mc:AlternateContent xmlns:mc="http://schemas.openxmlformats.org/markup-compatibility/2006">
    <mc:Choice Requires="x15">
      <x15ac:absPath xmlns:x15ac="http://schemas.microsoft.com/office/spreadsheetml/2010/11/ac" url="/var/mobile/Containers/Data/Application/EBDFB536-8386-421F-8E98-880898243B43/Library/Application Support/Drafts/"/>
    </mc:Choice>
  </mc:AlternateContent>
  <xr:revisionPtr revIDLastSave="0" documentId="8_{D2FDD9DD-FB24-034D-83B4-6237DCF4F5BB}" xr6:coauthVersionLast="47" xr6:coauthVersionMax="47" xr10:uidLastSave="{00000000-0000-0000-0000-000000000000}"/>
  <bookViews>
    <workbookView xWindow="0" yWindow="0" windowWidth="0" windowHeight="0" firstSheet="5" xr2:uid="{00000000-000D-0000-FFFF-FFFF00000000}"/>
  </bookViews>
  <sheets>
    <sheet name="Product overview" sheetId="9" r:id="rId1"/>
    <sheet name="Pastry Cakes" sheetId="1" r:id="rId2"/>
    <sheet name="Pastry Confects" sheetId="2" r:id="rId3"/>
    <sheet name="Capsules" sheetId="4" r:id="rId4"/>
    <sheet name="Afternoon Tea" sheetId="3" r:id="rId5"/>
    <sheet name="Juniper" sheetId="6" r:id="rId6"/>
    <sheet name="Bread" sheetId="5" r:id="rId7"/>
    <sheet name="Viennoiserie" sheetId="7" r:id="rId8"/>
    <sheet name="THON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6" i="8" l="1"/>
  <c r="AE55" i="8"/>
  <c r="AG52" i="8"/>
  <c r="AE57" i="8"/>
  <c r="Y55" i="8"/>
  <c r="Y54" i="8"/>
  <c r="AA51" i="8"/>
  <c r="Y56" i="8"/>
  <c r="AE50" i="8"/>
  <c r="AG49" i="8"/>
  <c r="AE49" i="8"/>
  <c r="AE48" i="8"/>
  <c r="Y47" i="8"/>
  <c r="Y48" i="8"/>
  <c r="AA48" i="8"/>
  <c r="Y49" i="8"/>
  <c r="U52" i="8"/>
  <c r="S48" i="8"/>
  <c r="S49" i="8"/>
  <c r="U49" i="8"/>
  <c r="S50" i="8"/>
  <c r="S56" i="8"/>
  <c r="V32" i="8"/>
  <c r="V33" i="8"/>
  <c r="V34" i="8"/>
  <c r="V35" i="8"/>
  <c r="V37" i="8"/>
  <c r="S55" i="8"/>
  <c r="S57" i="8"/>
  <c r="M48" i="8"/>
  <c r="M49" i="8"/>
  <c r="O49" i="8"/>
  <c r="M50" i="8"/>
  <c r="I53" i="8"/>
  <c r="M56" i="8"/>
  <c r="P33" i="8"/>
  <c r="P34" i="8"/>
  <c r="P35" i="8"/>
  <c r="P36" i="8"/>
  <c r="P38" i="8"/>
  <c r="M55" i="8"/>
  <c r="O52" i="8"/>
  <c r="M57" i="8"/>
  <c r="AW59" i="8"/>
  <c r="AW60" i="8"/>
  <c r="AW64" i="8"/>
  <c r="AZ43" i="8"/>
  <c r="AZ44" i="8"/>
  <c r="AZ45" i="8"/>
  <c r="AZ46" i="8"/>
  <c r="AZ47" i="8"/>
  <c r="AW63" i="8"/>
  <c r="AW65" i="8"/>
  <c r="AQ56" i="8"/>
  <c r="AQ57" i="8"/>
  <c r="AQ61" i="8"/>
  <c r="AT41" i="8"/>
  <c r="AT42" i="8"/>
  <c r="AT43" i="8"/>
  <c r="AT44" i="8"/>
  <c r="AT45" i="8"/>
  <c r="AQ60" i="8"/>
  <c r="AQ62" i="8"/>
  <c r="Y44" i="7"/>
  <c r="Y43" i="7"/>
  <c r="Y45" i="7"/>
  <c r="Y40" i="7"/>
  <c r="Y39" i="7"/>
  <c r="S54" i="7"/>
  <c r="S55" i="7"/>
  <c r="O51" i="7"/>
  <c r="S64" i="7"/>
  <c r="V41" i="7"/>
  <c r="V42" i="7"/>
  <c r="V43" i="7"/>
  <c r="V44" i="7"/>
  <c r="S63" i="7"/>
  <c r="S59" i="7"/>
  <c r="V35" i="7"/>
  <c r="V36" i="7"/>
  <c r="V37" i="7"/>
  <c r="V38" i="7"/>
  <c r="S58" i="7"/>
  <c r="S65" i="7"/>
  <c r="S60" i="7"/>
  <c r="M48" i="7"/>
  <c r="M49" i="7"/>
  <c r="M55" i="7"/>
  <c r="P36" i="7"/>
  <c r="P37" i="7"/>
  <c r="P38" i="7"/>
  <c r="M54" i="7"/>
  <c r="M56" i="7"/>
  <c r="G59" i="7"/>
  <c r="G60" i="7"/>
  <c r="I62" i="7"/>
  <c r="G71" i="7"/>
  <c r="J38" i="7"/>
  <c r="J39" i="7"/>
  <c r="J40" i="7"/>
  <c r="J41" i="7"/>
  <c r="J42" i="7"/>
  <c r="G70" i="7"/>
  <c r="G72" i="7"/>
  <c r="G50" i="7"/>
  <c r="G51" i="7"/>
  <c r="G66" i="7"/>
  <c r="J33" i="7"/>
  <c r="J34" i="7"/>
  <c r="J35" i="7"/>
  <c r="G65" i="7"/>
  <c r="G67" i="7"/>
  <c r="AE66" i="6"/>
  <c r="AH43" i="6"/>
  <c r="AH44" i="6"/>
  <c r="AH45" i="6"/>
  <c r="AH46" i="6"/>
  <c r="AH47" i="6"/>
  <c r="AH48" i="6"/>
  <c r="AH49" i="6"/>
  <c r="AE71" i="6"/>
  <c r="AE60" i="6"/>
  <c r="AE61" i="6"/>
  <c r="AG63" i="6"/>
  <c r="AE72" i="6"/>
  <c r="AE73" i="6"/>
  <c r="AE67" i="6"/>
  <c r="AE68" i="6"/>
  <c r="AB34" i="6"/>
  <c r="AB35" i="6"/>
  <c r="AB36" i="6"/>
  <c r="AB37" i="6"/>
  <c r="AB38" i="6"/>
  <c r="AB39" i="6"/>
  <c r="Y64" i="6"/>
  <c r="AB42" i="6"/>
  <c r="AB43" i="6"/>
  <c r="AB44" i="6"/>
  <c r="AB45" i="6"/>
  <c r="AB46" i="6"/>
  <c r="AB47" i="6"/>
  <c r="Y69" i="6"/>
  <c r="Y58" i="6"/>
  <c r="Y59" i="6"/>
  <c r="AA61" i="6"/>
  <c r="Y70" i="6"/>
  <c r="Y71" i="6"/>
  <c r="Y65" i="6"/>
  <c r="Y66" i="6"/>
  <c r="V42" i="6"/>
  <c r="V43" i="6"/>
  <c r="V44" i="6"/>
  <c r="V45" i="6"/>
  <c r="V46" i="6"/>
  <c r="S68" i="6"/>
  <c r="S57" i="6"/>
  <c r="S58" i="6"/>
  <c r="U60" i="6"/>
  <c r="S69" i="6"/>
  <c r="S70" i="6"/>
  <c r="V35" i="6"/>
  <c r="V36" i="6"/>
  <c r="V37" i="6"/>
  <c r="V38" i="6"/>
  <c r="V39" i="6"/>
  <c r="S63" i="6"/>
  <c r="S64" i="6"/>
  <c r="S65" i="6"/>
  <c r="P34" i="6"/>
  <c r="P35" i="6"/>
  <c r="P36" i="6"/>
  <c r="P37" i="6"/>
  <c r="P38" i="6"/>
  <c r="M62" i="6"/>
  <c r="P41" i="6"/>
  <c r="P42" i="6"/>
  <c r="P43" i="6"/>
  <c r="P44" i="6"/>
  <c r="P45" i="6"/>
  <c r="M67" i="6"/>
  <c r="M56" i="6"/>
  <c r="M57" i="6"/>
  <c r="O59" i="6"/>
  <c r="M68" i="6"/>
  <c r="M69" i="6"/>
  <c r="M63" i="6"/>
  <c r="M64" i="6"/>
  <c r="M37" i="2"/>
  <c r="M38" i="2"/>
  <c r="M29" i="2"/>
  <c r="M33" i="2"/>
  <c r="G69" i="1"/>
  <c r="AQ38" i="1"/>
  <c r="AQ50" i="1"/>
  <c r="G79" i="1"/>
  <c r="G66" i="1"/>
  <c r="Y42" i="4"/>
  <c r="Y43" i="4"/>
  <c r="AA45" i="4"/>
  <c r="Y49" i="4"/>
  <c r="AN38" i="4"/>
  <c r="AN39" i="4"/>
  <c r="AN40" i="4"/>
  <c r="AN41" i="4"/>
  <c r="AN42" i="4"/>
  <c r="AK57" i="4"/>
  <c r="AK51" i="4"/>
  <c r="AK52" i="4"/>
  <c r="AM54" i="4"/>
  <c r="AK58" i="4"/>
  <c r="AK59" i="4"/>
  <c r="AH18" i="4"/>
  <c r="AH19" i="4"/>
  <c r="AH20" i="4"/>
  <c r="AE35" i="4"/>
  <c r="AE29" i="4"/>
  <c r="AE30" i="4"/>
  <c r="AG32" i="4"/>
  <c r="AE36" i="4"/>
  <c r="AE37" i="4"/>
  <c r="AB30" i="4"/>
  <c r="AB31" i="4"/>
  <c r="AB32" i="4"/>
  <c r="AB33" i="4"/>
  <c r="Y48" i="4"/>
  <c r="Y50" i="4"/>
  <c r="V34" i="4"/>
  <c r="V35" i="4"/>
  <c r="V36" i="4"/>
  <c r="V37" i="4"/>
  <c r="V38" i="4"/>
  <c r="S54" i="4"/>
  <c r="S48" i="4"/>
  <c r="S49" i="4"/>
  <c r="U51" i="4"/>
  <c r="S55" i="4"/>
  <c r="S56" i="4"/>
  <c r="P31" i="4"/>
  <c r="P32" i="4"/>
  <c r="P33" i="4"/>
  <c r="P34" i="4"/>
  <c r="P35" i="4"/>
  <c r="M51" i="4"/>
  <c r="M45" i="4"/>
  <c r="M46" i="4"/>
  <c r="O48" i="4"/>
  <c r="M52" i="4"/>
  <c r="M53" i="4"/>
  <c r="AK57" i="8"/>
  <c r="AK58" i="8"/>
  <c r="AK62" i="8"/>
  <c r="AN42" i="8"/>
  <c r="AN43" i="8"/>
  <c r="AN44" i="8"/>
  <c r="AN45" i="8"/>
  <c r="AN46" i="8"/>
  <c r="AK61" i="8"/>
  <c r="AK63" i="8"/>
  <c r="Q13" i="9"/>
  <c r="F13" i="9"/>
  <c r="G13" i="9"/>
  <c r="H13" i="9"/>
  <c r="T13" i="9"/>
  <c r="R13" i="9"/>
  <c r="S13" i="9"/>
  <c r="K13" i="9"/>
  <c r="N13" i="9"/>
  <c r="L13" i="9"/>
  <c r="M13" i="9"/>
  <c r="G58" i="6"/>
  <c r="G59" i="6"/>
  <c r="I61" i="6"/>
  <c r="G70" i="6"/>
  <c r="J42" i="6"/>
  <c r="J43" i="6"/>
  <c r="J44" i="6"/>
  <c r="J45" i="6"/>
  <c r="J46" i="6"/>
  <c r="J47" i="6"/>
  <c r="G69" i="6"/>
  <c r="G71" i="6"/>
  <c r="G65" i="6"/>
  <c r="J34" i="6"/>
  <c r="J35" i="6"/>
  <c r="J36" i="6"/>
  <c r="J37" i="6"/>
  <c r="J38" i="6"/>
  <c r="J39" i="6"/>
  <c r="G64" i="6"/>
  <c r="G66" i="6"/>
  <c r="AE21" i="3"/>
  <c r="AE20" i="3"/>
  <c r="AE22" i="3"/>
  <c r="M87" i="3"/>
  <c r="M88" i="3"/>
  <c r="I68" i="3"/>
  <c r="M92" i="3"/>
  <c r="P70" i="3"/>
  <c r="P71" i="3"/>
  <c r="P72" i="3"/>
  <c r="P73" i="3"/>
  <c r="P74" i="3"/>
  <c r="P75" i="3"/>
  <c r="P76" i="3"/>
  <c r="M91" i="3"/>
  <c r="M93" i="3"/>
  <c r="Y57" i="3"/>
  <c r="Y58" i="3"/>
  <c r="Y73" i="3"/>
  <c r="AB16" i="3"/>
  <c r="AB17" i="3"/>
  <c r="Y72" i="3"/>
  <c r="Y74" i="3"/>
  <c r="Y52" i="3"/>
  <c r="Y68" i="3"/>
  <c r="AB32" i="3"/>
  <c r="AB33" i="3"/>
  <c r="Y67" i="3"/>
  <c r="Y69" i="3"/>
  <c r="Y50" i="3"/>
  <c r="Y63" i="3"/>
  <c r="AB44" i="3"/>
  <c r="AB45" i="3"/>
  <c r="Y62" i="3"/>
  <c r="Y64" i="3"/>
  <c r="S57" i="3"/>
  <c r="S58" i="3"/>
  <c r="S62" i="3"/>
  <c r="V41" i="3"/>
  <c r="V42" i="3"/>
  <c r="V43" i="3"/>
  <c r="V44" i="3"/>
  <c r="V45" i="3"/>
  <c r="V46" i="3"/>
  <c r="S61" i="3"/>
  <c r="S63" i="3"/>
  <c r="G65" i="3"/>
  <c r="G66" i="3"/>
  <c r="G72" i="3"/>
  <c r="J49" i="3"/>
  <c r="J50" i="3"/>
  <c r="J51" i="3"/>
  <c r="J52" i="3"/>
  <c r="J53" i="3"/>
  <c r="J54" i="3"/>
  <c r="G71" i="3"/>
  <c r="G73" i="3"/>
  <c r="AQ55" i="1"/>
  <c r="AQ56" i="1"/>
  <c r="I82" i="1"/>
  <c r="AQ60" i="1"/>
  <c r="AT41" i="1"/>
  <c r="AT42" i="1"/>
  <c r="AT43" i="1"/>
  <c r="AT44" i="1"/>
  <c r="AT45" i="1"/>
  <c r="AT46" i="1"/>
  <c r="AT47" i="1"/>
  <c r="AQ59" i="1"/>
  <c r="AQ61" i="1"/>
  <c r="AK73" i="1"/>
  <c r="AK74" i="1"/>
  <c r="AK78" i="1"/>
  <c r="AN55" i="1"/>
  <c r="AN56" i="1"/>
  <c r="AN57" i="1"/>
  <c r="AN58" i="1"/>
  <c r="AN59" i="1"/>
  <c r="AN60" i="1"/>
  <c r="AN61" i="1"/>
  <c r="AK77" i="1"/>
  <c r="AK79" i="1"/>
  <c r="Y100" i="1"/>
  <c r="Y101" i="1"/>
  <c r="Y105" i="1"/>
  <c r="AB70" i="1"/>
  <c r="AB71" i="1"/>
  <c r="AB72" i="1"/>
  <c r="AB73" i="1"/>
  <c r="AB74" i="1"/>
  <c r="AB75" i="1"/>
  <c r="AB76" i="1"/>
  <c r="AB77" i="1"/>
  <c r="Y104" i="1"/>
  <c r="Y106" i="1"/>
  <c r="S86" i="1"/>
  <c r="S87" i="1"/>
  <c r="S91" i="1"/>
  <c r="V65" i="1"/>
  <c r="V66" i="1"/>
  <c r="V67" i="1"/>
  <c r="V68" i="1"/>
  <c r="V69" i="1"/>
  <c r="V70" i="1"/>
  <c r="V71" i="1"/>
  <c r="V72" i="1"/>
  <c r="V73" i="1"/>
  <c r="S90" i="1"/>
  <c r="S92" i="1"/>
  <c r="M71" i="1"/>
  <c r="M72" i="1"/>
  <c r="M76" i="1"/>
  <c r="P53" i="1"/>
  <c r="P54" i="1"/>
  <c r="P55" i="1"/>
  <c r="P56" i="1"/>
  <c r="P57" i="1"/>
  <c r="P58" i="1"/>
  <c r="M75" i="1"/>
  <c r="M77" i="1"/>
  <c r="G80" i="1"/>
  <c r="G86" i="1"/>
  <c r="J49" i="1"/>
  <c r="J50" i="1"/>
  <c r="J51" i="1"/>
  <c r="J52" i="1"/>
  <c r="J53" i="1"/>
  <c r="J54" i="1"/>
  <c r="G85" i="1"/>
  <c r="G87" i="1"/>
  <c r="I50" i="8"/>
  <c r="G51" i="8"/>
  <c r="G57" i="8"/>
  <c r="J35" i="8"/>
  <c r="J36" i="8"/>
  <c r="J37" i="8"/>
  <c r="J38" i="8"/>
  <c r="J40" i="8"/>
  <c r="G56" i="8"/>
  <c r="G58" i="8"/>
  <c r="G49" i="8"/>
  <c r="G49" i="4"/>
  <c r="G50" i="4"/>
  <c r="I52" i="4"/>
  <c r="G56" i="4"/>
  <c r="J35" i="4"/>
  <c r="J36" i="4"/>
  <c r="J37" i="4"/>
  <c r="J38" i="4"/>
  <c r="J39" i="4"/>
  <c r="G55" i="4"/>
  <c r="G57" i="4"/>
  <c r="G165" i="2"/>
  <c r="G161" i="2"/>
  <c r="G162" i="2"/>
  <c r="G175" i="2"/>
  <c r="G170" i="2"/>
  <c r="AH49" i="1"/>
  <c r="AH50" i="1"/>
  <c r="AH51" i="1"/>
  <c r="AH52" i="1"/>
  <c r="AH53" i="1"/>
  <c r="AH54" i="1"/>
  <c r="AE87" i="1"/>
  <c r="AE73" i="1"/>
  <c r="AE74" i="1"/>
  <c r="AE88" i="1"/>
  <c r="AE83" i="1"/>
  <c r="AH57" i="1"/>
  <c r="AH58" i="1"/>
  <c r="AH59" i="1"/>
  <c r="AH60" i="1"/>
  <c r="AH61" i="1"/>
  <c r="AH62" i="1"/>
  <c r="AE82" i="1"/>
  <c r="AE84" i="1"/>
  <c r="AE89" i="1"/>
  <c r="AE78" i="1"/>
  <c r="AH41" i="1"/>
  <c r="AH42" i="1"/>
  <c r="AH43" i="1"/>
  <c r="AH44" i="1"/>
  <c r="AH45" i="1"/>
  <c r="AH46" i="1"/>
  <c r="AE77" i="1"/>
  <c r="AE79" i="1"/>
  <c r="AZ34" i="3"/>
  <c r="AZ35" i="3"/>
  <c r="AZ36" i="3"/>
  <c r="AZ37" i="3"/>
  <c r="AZ38" i="3"/>
  <c r="AW52" i="3"/>
  <c r="AW48" i="3"/>
  <c r="AW49" i="3"/>
  <c r="AW53" i="3"/>
  <c r="AW54" i="3"/>
  <c r="AQ45" i="3"/>
  <c r="AQ46" i="3"/>
  <c r="AQ50" i="3"/>
  <c r="AT31" i="3"/>
  <c r="AT32" i="3"/>
  <c r="AT33" i="3"/>
  <c r="AT34" i="3"/>
  <c r="AT35" i="3"/>
  <c r="AQ49" i="3"/>
  <c r="AQ51" i="3"/>
  <c r="Y27" i="2"/>
  <c r="Y28" i="2"/>
  <c r="U39" i="2"/>
  <c r="Y37" i="2"/>
  <c r="AB20" i="2"/>
  <c r="AB21" i="2"/>
  <c r="Y36" i="2"/>
  <c r="Y38" i="2"/>
  <c r="Y32" i="2"/>
  <c r="AB16" i="2"/>
  <c r="AB17" i="2"/>
  <c r="Y31" i="2"/>
  <c r="Y33" i="2"/>
  <c r="M42" i="2"/>
  <c r="P22" i="2"/>
  <c r="P23" i="2"/>
  <c r="P24" i="2"/>
  <c r="P25" i="2"/>
  <c r="M41" i="2"/>
  <c r="M43" i="2"/>
  <c r="AE16" i="3"/>
  <c r="AE17" i="3"/>
  <c r="AQ28" i="5"/>
  <c r="I38" i="5"/>
  <c r="AQ32" i="5"/>
  <c r="AT23" i="5"/>
  <c r="AT24" i="5"/>
  <c r="AQ31" i="5"/>
  <c r="AQ33" i="5"/>
  <c r="AK28" i="5"/>
  <c r="AK32" i="5"/>
  <c r="AN23" i="5"/>
  <c r="AN24" i="5"/>
  <c r="AK31" i="5"/>
  <c r="AK33" i="5"/>
  <c r="AE30" i="5"/>
  <c r="AE34" i="5"/>
  <c r="AH25" i="5"/>
  <c r="AH26" i="5"/>
  <c r="AE33" i="5"/>
  <c r="AE35" i="5"/>
  <c r="Y27" i="5"/>
  <c r="Y31" i="5"/>
  <c r="AB22" i="5"/>
  <c r="AB23" i="5"/>
  <c r="Y30" i="5"/>
  <c r="Y32" i="5"/>
  <c r="S27" i="5"/>
  <c r="S31" i="5"/>
  <c r="V22" i="5"/>
  <c r="V23" i="5"/>
  <c r="S30" i="5"/>
  <c r="S32" i="5"/>
  <c r="M38" i="5"/>
  <c r="M52" i="5"/>
  <c r="P25" i="5"/>
  <c r="P26" i="5"/>
  <c r="M51" i="5"/>
  <c r="M53" i="5"/>
  <c r="M34" i="5"/>
  <c r="M47" i="5"/>
  <c r="P21" i="5"/>
  <c r="P22" i="5"/>
  <c r="M46" i="5"/>
  <c r="M48" i="5"/>
  <c r="M30" i="5"/>
  <c r="M42" i="5"/>
  <c r="P17" i="5"/>
  <c r="P18" i="5"/>
  <c r="M41" i="5"/>
  <c r="M43" i="5"/>
  <c r="G36" i="5"/>
  <c r="G42" i="5"/>
  <c r="J30" i="5"/>
  <c r="J31" i="5"/>
  <c r="J32" i="5"/>
  <c r="G41" i="5"/>
  <c r="G43" i="5"/>
  <c r="V27" i="2"/>
  <c r="V28" i="2"/>
  <c r="V29" i="2"/>
  <c r="S47" i="2"/>
  <c r="S36" i="2"/>
  <c r="S37" i="2"/>
  <c r="S48" i="2"/>
  <c r="S49" i="2"/>
  <c r="S43" i="2"/>
  <c r="V22" i="2"/>
  <c r="V23" i="2"/>
  <c r="V24" i="2"/>
  <c r="S42" i="2"/>
  <c r="S44" i="2"/>
  <c r="J147" i="2"/>
  <c r="J148" i="2"/>
  <c r="J149" i="2"/>
  <c r="G204" i="2"/>
  <c r="G205" i="2"/>
  <c r="G206" i="2"/>
  <c r="J142" i="2"/>
  <c r="J143" i="2"/>
  <c r="J144" i="2"/>
  <c r="G199" i="2"/>
  <c r="G200" i="2"/>
  <c r="G201" i="2"/>
  <c r="J137" i="2"/>
  <c r="J138" i="2"/>
  <c r="J139" i="2"/>
  <c r="G194" i="2"/>
  <c r="G195" i="2"/>
  <c r="G196" i="2"/>
  <c r="J132" i="2"/>
  <c r="J133" i="2"/>
  <c r="J134" i="2"/>
  <c r="G189" i="2"/>
  <c r="G190" i="2"/>
  <c r="G191" i="2"/>
  <c r="J127" i="2"/>
  <c r="J128" i="2"/>
  <c r="J129" i="2"/>
  <c r="G184" i="2"/>
  <c r="G185" i="2"/>
  <c r="G186" i="2"/>
  <c r="G180" i="2"/>
  <c r="J122" i="2"/>
  <c r="J123" i="2"/>
  <c r="J124" i="2"/>
  <c r="G179" i="2"/>
  <c r="G181" i="2"/>
  <c r="J117" i="2"/>
  <c r="J118" i="2"/>
  <c r="J119" i="2"/>
  <c r="G174" i="2"/>
  <c r="G176" i="2"/>
  <c r="D114" i="2"/>
  <c r="D99" i="7"/>
  <c r="U26" i="7"/>
  <c r="V26" i="7"/>
  <c r="D7" i="7"/>
  <c r="U27" i="7"/>
  <c r="V27" i="7"/>
  <c r="D70" i="7"/>
  <c r="U28" i="7"/>
  <c r="V28" i="7"/>
  <c r="D71" i="7"/>
  <c r="U29" i="7"/>
  <c r="V29" i="7"/>
  <c r="D53" i="7"/>
  <c r="U30" i="7"/>
  <c r="V30" i="7"/>
  <c r="V31" i="7"/>
  <c r="S31" i="7"/>
  <c r="V32" i="7"/>
  <c r="U18" i="7"/>
  <c r="V18" i="7"/>
  <c r="D6" i="7"/>
  <c r="U19" i="7"/>
  <c r="V19" i="7"/>
  <c r="D72" i="7"/>
  <c r="U20" i="7"/>
  <c r="V20" i="7"/>
  <c r="U21" i="7"/>
  <c r="V21" i="7"/>
  <c r="V22" i="7"/>
  <c r="S22" i="7"/>
  <c r="V23" i="7"/>
  <c r="AB29" i="7"/>
  <c r="AB30" i="7"/>
  <c r="AB31" i="7"/>
  <c r="AA20" i="7"/>
  <c r="AB20" i="7"/>
  <c r="AA21" i="7"/>
  <c r="AB21" i="7"/>
  <c r="D69" i="7"/>
  <c r="AA22" i="7"/>
  <c r="AB22" i="7"/>
  <c r="D102" i="7"/>
  <c r="AA23" i="7"/>
  <c r="AB23" i="7"/>
  <c r="AA24" i="7"/>
  <c r="AB24" i="7"/>
  <c r="AB25" i="7"/>
  <c r="Y25" i="7"/>
  <c r="AB26" i="7"/>
  <c r="D42" i="7"/>
  <c r="AA4" i="7"/>
  <c r="AB4" i="7"/>
  <c r="D4" i="7"/>
  <c r="AA5" i="7"/>
  <c r="AB5" i="7"/>
  <c r="D19" i="7"/>
  <c r="AA6" i="7"/>
  <c r="AB6" i="7"/>
  <c r="D14" i="7"/>
  <c r="AA7" i="7"/>
  <c r="AB7" i="7"/>
  <c r="D2" i="7"/>
  <c r="AA8" i="7"/>
  <c r="AB8" i="7"/>
  <c r="D9" i="7"/>
  <c r="AA9" i="7"/>
  <c r="AB9" i="7"/>
  <c r="D5" i="7"/>
  <c r="AA10" i="7"/>
  <c r="AB10" i="7"/>
  <c r="AA11" i="7"/>
  <c r="AB11" i="7"/>
  <c r="AA12" i="7"/>
  <c r="AB12" i="7"/>
  <c r="D43" i="7"/>
  <c r="AA13" i="7"/>
  <c r="AB13" i="7"/>
  <c r="D106" i="7"/>
  <c r="AA14" i="7"/>
  <c r="AB14" i="7"/>
  <c r="D114" i="7"/>
  <c r="AA15" i="7"/>
  <c r="AB15" i="7"/>
  <c r="AB16" i="7"/>
  <c r="Y16" i="7"/>
  <c r="AB17" i="7"/>
  <c r="S14" i="7"/>
  <c r="U4" i="7"/>
  <c r="V4" i="7"/>
  <c r="U5" i="7"/>
  <c r="V5" i="7"/>
  <c r="U6" i="7"/>
  <c r="V6" i="7"/>
  <c r="U7" i="7"/>
  <c r="V7" i="7"/>
  <c r="U8" i="7"/>
  <c r="V8" i="7"/>
  <c r="U9" i="7"/>
  <c r="V9" i="7"/>
  <c r="U10" i="7"/>
  <c r="V10" i="7"/>
  <c r="U11" i="7"/>
  <c r="V11" i="7"/>
  <c r="D97" i="7"/>
  <c r="U12" i="7"/>
  <c r="V12" i="7"/>
  <c r="U13" i="7"/>
  <c r="V13" i="7"/>
  <c r="V14" i="7"/>
  <c r="V15" i="7"/>
  <c r="O26" i="7"/>
  <c r="P26" i="7"/>
  <c r="O27" i="7"/>
  <c r="P27" i="7"/>
  <c r="D104" i="7"/>
  <c r="O28" i="7"/>
  <c r="P28" i="7"/>
  <c r="O29" i="7"/>
  <c r="P29" i="7"/>
  <c r="O30" i="7"/>
  <c r="P30" i="7"/>
  <c r="D34" i="7"/>
  <c r="O31" i="7"/>
  <c r="P31" i="7"/>
  <c r="P32" i="7"/>
  <c r="M32" i="7"/>
  <c r="P33" i="7"/>
  <c r="P20" i="7"/>
  <c r="D96" i="7"/>
  <c r="O21" i="7"/>
  <c r="P21" i="7"/>
  <c r="P22" i="7"/>
  <c r="M22" i="7"/>
  <c r="P23" i="7"/>
  <c r="O4" i="7"/>
  <c r="P4" i="7"/>
  <c r="O5" i="7"/>
  <c r="P5" i="7"/>
  <c r="O6" i="7"/>
  <c r="P6" i="7"/>
  <c r="O7" i="7"/>
  <c r="P7" i="7"/>
  <c r="O8" i="7"/>
  <c r="P8" i="7"/>
  <c r="O9" i="7"/>
  <c r="P9" i="7"/>
  <c r="O10" i="7"/>
  <c r="P10" i="7"/>
  <c r="O11" i="7"/>
  <c r="P11" i="7"/>
  <c r="O12" i="7"/>
  <c r="P12" i="7"/>
  <c r="O13" i="7"/>
  <c r="P13" i="7"/>
  <c r="O14" i="7"/>
  <c r="P14" i="7"/>
  <c r="O15" i="7"/>
  <c r="P15" i="7"/>
  <c r="P16" i="7"/>
  <c r="M16" i="7"/>
  <c r="P17" i="7"/>
  <c r="D45" i="8"/>
  <c r="AY35" i="8"/>
  <c r="D104" i="8"/>
  <c r="AY36" i="8"/>
  <c r="D39" i="8"/>
  <c r="AY37" i="8"/>
  <c r="D97" i="8"/>
  <c r="AY38" i="8"/>
  <c r="AY25" i="8"/>
  <c r="AY26" i="8"/>
  <c r="D38" i="8"/>
  <c r="AY27" i="8"/>
  <c r="AY28" i="8"/>
  <c r="D101" i="8"/>
  <c r="AY15" i="8"/>
  <c r="D5" i="8"/>
  <c r="AY16" i="8"/>
  <c r="D8" i="8"/>
  <c r="AY17" i="8"/>
  <c r="D102" i="8"/>
  <c r="AY18" i="8"/>
  <c r="AY19" i="8"/>
  <c r="AY5" i="8"/>
  <c r="D103" i="8"/>
  <c r="AY6" i="8"/>
  <c r="AY7" i="8"/>
  <c r="D112" i="8"/>
  <c r="AY8" i="8"/>
  <c r="AY9" i="8"/>
  <c r="D96" i="8"/>
  <c r="AY34" i="8"/>
  <c r="AY24" i="8"/>
  <c r="AY14" i="8"/>
  <c r="AY4" i="8"/>
  <c r="D98" i="8"/>
  <c r="D13" i="8"/>
  <c r="D30" i="8"/>
  <c r="D50" i="8"/>
  <c r="AZ34" i="8"/>
  <c r="AZ35" i="8"/>
  <c r="AZ36" i="8"/>
  <c r="AZ37" i="8"/>
  <c r="AZ38" i="8"/>
  <c r="AZ39" i="8"/>
  <c r="AW39" i="8"/>
  <c r="AZ40" i="8"/>
  <c r="AZ24" i="8"/>
  <c r="AZ25" i="8"/>
  <c r="AZ26" i="8"/>
  <c r="AZ27" i="8"/>
  <c r="AZ28" i="8"/>
  <c r="AZ29" i="8"/>
  <c r="AW29" i="8"/>
  <c r="AZ30" i="8"/>
  <c r="AZ14" i="8"/>
  <c r="AZ15" i="8"/>
  <c r="AZ16" i="8"/>
  <c r="AZ17" i="8"/>
  <c r="AZ18" i="8"/>
  <c r="AZ19" i="8"/>
  <c r="AZ20" i="8"/>
  <c r="AW20" i="8"/>
  <c r="AZ21" i="8"/>
  <c r="AZ4" i="8"/>
  <c r="AZ5" i="8"/>
  <c r="AZ6" i="8"/>
  <c r="AZ7" i="8"/>
  <c r="AZ8" i="8"/>
  <c r="AZ9" i="8"/>
  <c r="AZ10" i="8"/>
  <c r="AW10" i="8"/>
  <c r="AZ11" i="8"/>
  <c r="D114" i="8"/>
  <c r="AS14" i="8"/>
  <c r="D7" i="1"/>
  <c r="I5" i="1"/>
  <c r="D98" i="1"/>
  <c r="I6" i="1"/>
  <c r="D103" i="1"/>
  <c r="I7" i="1"/>
  <c r="D13" i="1"/>
  <c r="I8" i="1"/>
  <c r="D4" i="1"/>
  <c r="I4" i="1"/>
  <c r="AS33" i="8"/>
  <c r="AT33" i="8"/>
  <c r="AS34" i="8"/>
  <c r="AT34" i="8"/>
  <c r="AS35" i="8"/>
  <c r="AT35" i="8"/>
  <c r="D37" i="8"/>
  <c r="AS36" i="8"/>
  <c r="AT36" i="8"/>
  <c r="AT37" i="8"/>
  <c r="AQ37" i="8"/>
  <c r="AT38" i="8"/>
  <c r="AS24" i="8"/>
  <c r="AT24" i="8"/>
  <c r="D56" i="8"/>
  <c r="AS25" i="8"/>
  <c r="AT25" i="8"/>
  <c r="AS26" i="8"/>
  <c r="AT26" i="8"/>
  <c r="AS27" i="8"/>
  <c r="AT27" i="8"/>
  <c r="AS28" i="8"/>
  <c r="AT28" i="8"/>
  <c r="AT29" i="8"/>
  <c r="AQ29" i="8"/>
  <c r="AT30" i="8"/>
  <c r="D75" i="8"/>
  <c r="AT14" i="8"/>
  <c r="AS15" i="8"/>
  <c r="AT15" i="8"/>
  <c r="D54" i="8"/>
  <c r="AS16" i="8"/>
  <c r="AT16" i="8"/>
  <c r="D46" i="8"/>
  <c r="AS17" i="8"/>
  <c r="AT17" i="8"/>
  <c r="D48" i="8"/>
  <c r="AS18" i="8"/>
  <c r="AT18" i="8"/>
  <c r="D78" i="8"/>
  <c r="AS19" i="8"/>
  <c r="AT19" i="8"/>
  <c r="AT20" i="8"/>
  <c r="AQ20" i="8"/>
  <c r="AT21" i="8"/>
  <c r="AS4" i="8"/>
  <c r="AT4" i="8"/>
  <c r="AS5" i="8"/>
  <c r="AT5" i="8"/>
  <c r="AS6" i="8"/>
  <c r="AT6" i="8"/>
  <c r="AS7" i="8"/>
  <c r="AT7" i="8"/>
  <c r="AS8" i="8"/>
  <c r="AT8" i="8"/>
  <c r="AS9" i="8"/>
  <c r="AT9" i="8"/>
  <c r="AT10" i="8"/>
  <c r="AQ10" i="8"/>
  <c r="AT11" i="8"/>
  <c r="AM34" i="8"/>
  <c r="AM35" i="8"/>
  <c r="AM36" i="8"/>
  <c r="AM37" i="8"/>
  <c r="AM33" i="8"/>
  <c r="AN33" i="8"/>
  <c r="AN34" i="8"/>
  <c r="AN35" i="8"/>
  <c r="AN36" i="8"/>
  <c r="AN37" i="8"/>
  <c r="AN38" i="8"/>
  <c r="AK38" i="8"/>
  <c r="AN39" i="8"/>
  <c r="AK20" i="8"/>
  <c r="AK10" i="8"/>
  <c r="AK29" i="8"/>
  <c r="AM4" i="8"/>
  <c r="AN4" i="8"/>
  <c r="AM5" i="8"/>
  <c r="AN5" i="8"/>
  <c r="AM6" i="8"/>
  <c r="AN6" i="8"/>
  <c r="AM7" i="8"/>
  <c r="AN7" i="8"/>
  <c r="AM8" i="8"/>
  <c r="AN8" i="8"/>
  <c r="AM9" i="8"/>
  <c r="AN9" i="8"/>
  <c r="AN10" i="8"/>
  <c r="AN11" i="8"/>
  <c r="D82" i="8"/>
  <c r="AM24" i="8"/>
  <c r="AN24" i="8"/>
  <c r="AM25" i="8"/>
  <c r="AN25" i="8"/>
  <c r="AM26" i="8"/>
  <c r="AN26" i="8"/>
  <c r="AM27" i="8"/>
  <c r="AN27" i="8"/>
  <c r="AM28" i="8"/>
  <c r="AN28" i="8"/>
  <c r="AN29" i="8"/>
  <c r="AN30" i="8"/>
  <c r="AM14" i="8"/>
  <c r="AN14" i="8"/>
  <c r="AM15" i="8"/>
  <c r="AN15" i="8"/>
  <c r="AM16" i="8"/>
  <c r="AN16" i="8"/>
  <c r="AM17" i="8"/>
  <c r="AN17" i="8"/>
  <c r="AM18" i="8"/>
  <c r="AN18" i="8"/>
  <c r="AM19" i="8"/>
  <c r="AN19" i="8"/>
  <c r="AN20" i="8"/>
  <c r="AN21" i="8"/>
  <c r="AG23" i="8"/>
  <c r="AH23" i="8"/>
  <c r="AG24" i="8"/>
  <c r="AH24" i="8"/>
  <c r="AG25" i="8"/>
  <c r="AH25" i="8"/>
  <c r="AG26" i="8"/>
  <c r="AH26" i="8"/>
  <c r="AG27" i="8"/>
  <c r="AH27" i="8"/>
  <c r="AH28" i="8"/>
  <c r="AE28" i="8"/>
  <c r="D16" i="8"/>
  <c r="AA4" i="8"/>
  <c r="AB4" i="8"/>
  <c r="D105" i="8"/>
  <c r="AA5" i="8"/>
  <c r="AB5" i="8"/>
  <c r="D111" i="8"/>
  <c r="AA6" i="8"/>
  <c r="AB6" i="8"/>
  <c r="AA7" i="8"/>
  <c r="AB7" i="8"/>
  <c r="D4" i="8"/>
  <c r="AA8" i="8"/>
  <c r="AB8" i="8"/>
  <c r="D3" i="8"/>
  <c r="AA9" i="8"/>
  <c r="AB9" i="8"/>
  <c r="AA10" i="8"/>
  <c r="AB10" i="8"/>
  <c r="AB11" i="8"/>
  <c r="Y11" i="8"/>
  <c r="AA20" i="8"/>
  <c r="AB20" i="8"/>
  <c r="AA19" i="8"/>
  <c r="AB19" i="8"/>
  <c r="AA18" i="8"/>
  <c r="AB18" i="8"/>
  <c r="AA17" i="8"/>
  <c r="AB17" i="8"/>
  <c r="AA16" i="8"/>
  <c r="AB16" i="8"/>
  <c r="D90" i="8"/>
  <c r="AA15" i="8"/>
  <c r="AB15" i="8"/>
  <c r="D91" i="8"/>
  <c r="AG14" i="8"/>
  <c r="AH14" i="8"/>
  <c r="AG15" i="8"/>
  <c r="AH15" i="8"/>
  <c r="AG16" i="8"/>
  <c r="AH16" i="8"/>
  <c r="D59" i="8"/>
  <c r="AG17" i="8"/>
  <c r="AH17" i="8"/>
  <c r="AG18" i="8"/>
  <c r="AH18" i="8"/>
  <c r="AH19" i="8"/>
  <c r="AE19" i="8"/>
  <c r="AH20" i="8"/>
  <c r="AG4" i="8"/>
  <c r="AH4" i="8"/>
  <c r="AG5" i="8"/>
  <c r="AH5" i="8"/>
  <c r="AG6" i="8"/>
  <c r="AH6" i="8"/>
  <c r="AG7" i="8"/>
  <c r="AH7" i="8"/>
  <c r="AG8" i="8"/>
  <c r="AH8" i="8"/>
  <c r="AG9" i="8"/>
  <c r="AH9" i="8"/>
  <c r="AH10" i="8"/>
  <c r="AE10" i="8"/>
  <c r="AH11" i="8"/>
  <c r="AH32" i="8"/>
  <c r="AH33" i="8"/>
  <c r="AH34" i="8"/>
  <c r="AH35" i="8"/>
  <c r="AH37" i="8"/>
  <c r="D80" i="8"/>
  <c r="AH29" i="8"/>
  <c r="AB32" i="8"/>
  <c r="AB33" i="8"/>
  <c r="AB34" i="8"/>
  <c r="AB35" i="8"/>
  <c r="AB37" i="8"/>
  <c r="AA25" i="8"/>
  <c r="AB25" i="8"/>
  <c r="AA26" i="8"/>
  <c r="AB26" i="8"/>
  <c r="AA27" i="8"/>
  <c r="AB27" i="8"/>
  <c r="AB28" i="8"/>
  <c r="Y28" i="8"/>
  <c r="AB29" i="8"/>
  <c r="D77" i="8"/>
  <c r="D87" i="8"/>
  <c r="AB21" i="8"/>
  <c r="Y21" i="8"/>
  <c r="AB22" i="8"/>
  <c r="AB12" i="8"/>
  <c r="U27" i="8"/>
  <c r="V27" i="8"/>
  <c r="U26" i="8"/>
  <c r="V26" i="8"/>
  <c r="U25" i="8"/>
  <c r="V25" i="8"/>
  <c r="U24" i="8"/>
  <c r="V24" i="8"/>
  <c r="U23" i="8"/>
  <c r="V23" i="8"/>
  <c r="V28" i="8"/>
  <c r="S28" i="8"/>
  <c r="V29" i="8"/>
  <c r="U14" i="8"/>
  <c r="V14" i="8"/>
  <c r="U15" i="8"/>
  <c r="V15" i="8"/>
  <c r="U16" i="8"/>
  <c r="V16" i="8"/>
  <c r="U17" i="8"/>
  <c r="V17" i="8"/>
  <c r="U18" i="8"/>
  <c r="V18" i="8"/>
  <c r="V19" i="8"/>
  <c r="S19" i="8"/>
  <c r="V20" i="8"/>
  <c r="U4" i="8"/>
  <c r="V4" i="8"/>
  <c r="U5" i="8"/>
  <c r="V5" i="8"/>
  <c r="U6" i="8"/>
  <c r="V6" i="8"/>
  <c r="U7" i="8"/>
  <c r="V7" i="8"/>
  <c r="U8" i="8"/>
  <c r="V8" i="8"/>
  <c r="U9" i="8"/>
  <c r="V9" i="8"/>
  <c r="V10" i="8"/>
  <c r="S10" i="8"/>
  <c r="V11" i="8"/>
  <c r="O24" i="8"/>
  <c r="P24" i="8"/>
  <c r="O25" i="8"/>
  <c r="P25" i="8"/>
  <c r="O26" i="8"/>
  <c r="P26" i="8"/>
  <c r="O27" i="8"/>
  <c r="P27" i="8"/>
  <c r="O28" i="8"/>
  <c r="P28" i="8"/>
  <c r="P29" i="8"/>
  <c r="O4" i="8"/>
  <c r="P4" i="8"/>
  <c r="O5" i="8"/>
  <c r="P5" i="8"/>
  <c r="O6" i="8"/>
  <c r="P6" i="8"/>
  <c r="O7" i="8"/>
  <c r="P7" i="8"/>
  <c r="O8" i="8"/>
  <c r="P8" i="8"/>
  <c r="O9" i="8"/>
  <c r="P9" i="8"/>
  <c r="P10" i="8"/>
  <c r="M10" i="8"/>
  <c r="M29" i="8"/>
  <c r="P30" i="8"/>
  <c r="D83" i="8"/>
  <c r="O14" i="8"/>
  <c r="P14" i="8"/>
  <c r="O15" i="8"/>
  <c r="P15" i="8"/>
  <c r="O16" i="8"/>
  <c r="P16" i="8"/>
  <c r="O17" i="8"/>
  <c r="P17" i="8"/>
  <c r="O18" i="8"/>
  <c r="P18" i="8"/>
  <c r="O19" i="8"/>
  <c r="P19" i="8"/>
  <c r="P20" i="8"/>
  <c r="M20" i="8"/>
  <c r="P21" i="8"/>
  <c r="P11" i="8"/>
  <c r="I4" i="8"/>
  <c r="J4" i="8"/>
  <c r="I5" i="8"/>
  <c r="J5" i="8"/>
  <c r="I6" i="8"/>
  <c r="J6" i="8"/>
  <c r="D42" i="8"/>
  <c r="I7" i="8"/>
  <c r="J7" i="8"/>
  <c r="I8" i="8"/>
  <c r="J8" i="8"/>
  <c r="I9" i="8"/>
  <c r="J9" i="8"/>
  <c r="I10" i="8"/>
  <c r="J10" i="8"/>
  <c r="I11" i="8"/>
  <c r="J11" i="8"/>
  <c r="J12" i="8"/>
  <c r="I16" i="8"/>
  <c r="J16" i="8"/>
  <c r="I17" i="8"/>
  <c r="J17" i="8"/>
  <c r="I18" i="8"/>
  <c r="J18" i="8"/>
  <c r="I19" i="8"/>
  <c r="J19" i="8"/>
  <c r="I20" i="8"/>
  <c r="J20" i="8"/>
  <c r="I21" i="8"/>
  <c r="J21" i="8"/>
  <c r="J22" i="8"/>
  <c r="I26" i="8"/>
  <c r="J26" i="8"/>
  <c r="I27" i="8"/>
  <c r="J27" i="8"/>
  <c r="I28" i="8"/>
  <c r="J28" i="8"/>
  <c r="I29" i="8"/>
  <c r="J29" i="8"/>
  <c r="I30" i="8"/>
  <c r="J30" i="8"/>
  <c r="J31" i="8"/>
  <c r="G31" i="8"/>
  <c r="J32" i="8"/>
  <c r="G22" i="8"/>
  <c r="J23" i="8"/>
  <c r="G12" i="8"/>
  <c r="J13" i="8"/>
  <c r="D110" i="8"/>
  <c r="D109" i="8"/>
  <c r="D108" i="8"/>
  <c r="D107" i="8"/>
  <c r="D106" i="8"/>
  <c r="D100" i="8"/>
  <c r="D99" i="8"/>
  <c r="D95" i="8"/>
  <c r="D94" i="8"/>
  <c r="D93" i="8"/>
  <c r="D92" i="8"/>
  <c r="D89" i="8"/>
  <c r="D88" i="8"/>
  <c r="D86" i="8"/>
  <c r="D85" i="8"/>
  <c r="D84" i="8"/>
  <c r="D81" i="8"/>
  <c r="D79" i="8"/>
  <c r="D76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8" i="8"/>
  <c r="D57" i="8"/>
  <c r="D55" i="8"/>
  <c r="D53" i="8"/>
  <c r="D52" i="8"/>
  <c r="D51" i="8"/>
  <c r="D49" i="8"/>
  <c r="D47" i="8"/>
  <c r="D44" i="8"/>
  <c r="D43" i="8"/>
  <c r="D41" i="8"/>
  <c r="D40" i="8"/>
  <c r="D36" i="8"/>
  <c r="D35" i="8"/>
  <c r="D34" i="8"/>
  <c r="D33" i="8"/>
  <c r="D32" i="8"/>
  <c r="D31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5" i="8"/>
  <c r="D14" i="8"/>
  <c r="D12" i="8"/>
  <c r="D11" i="8"/>
  <c r="D10" i="8"/>
  <c r="D9" i="8"/>
  <c r="D7" i="8"/>
  <c r="D6" i="8"/>
  <c r="D2" i="8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J16" i="7"/>
  <c r="G16" i="7"/>
  <c r="J17" i="7"/>
  <c r="D13" i="7"/>
  <c r="J27" i="7"/>
  <c r="I28" i="7"/>
  <c r="J28" i="7"/>
  <c r="D18" i="7"/>
  <c r="J29" i="7"/>
  <c r="G29" i="7"/>
  <c r="J30" i="7"/>
  <c r="I20" i="7"/>
  <c r="J20" i="7"/>
  <c r="I21" i="7"/>
  <c r="J21" i="7"/>
  <c r="D12" i="7"/>
  <c r="I22" i="7"/>
  <c r="J22" i="7"/>
  <c r="J23" i="7"/>
  <c r="G23" i="7"/>
  <c r="J24" i="7"/>
  <c r="D30" i="7"/>
  <c r="D113" i="7"/>
  <c r="D112" i="7"/>
  <c r="D111" i="7"/>
  <c r="D110" i="7"/>
  <c r="D109" i="7"/>
  <c r="D108" i="7"/>
  <c r="D107" i="7"/>
  <c r="D105" i="7"/>
  <c r="D103" i="7"/>
  <c r="D101" i="7"/>
  <c r="D100" i="7"/>
  <c r="D98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2" i="7"/>
  <c r="D51" i="7"/>
  <c r="D50" i="7"/>
  <c r="D49" i="7"/>
  <c r="D48" i="7"/>
  <c r="D47" i="7"/>
  <c r="D46" i="7"/>
  <c r="D45" i="7"/>
  <c r="D44" i="7"/>
  <c r="D41" i="7"/>
  <c r="D40" i="7"/>
  <c r="D39" i="7"/>
  <c r="D38" i="7"/>
  <c r="D37" i="7"/>
  <c r="D36" i="7"/>
  <c r="D35" i="7"/>
  <c r="D33" i="7"/>
  <c r="D32" i="7"/>
  <c r="D31" i="7"/>
  <c r="D29" i="7"/>
  <c r="D28" i="7"/>
  <c r="D27" i="7"/>
  <c r="D26" i="7"/>
  <c r="D25" i="7"/>
  <c r="D24" i="7"/>
  <c r="D23" i="7"/>
  <c r="D22" i="7"/>
  <c r="D21" i="7"/>
  <c r="D20" i="7"/>
  <c r="D17" i="7"/>
  <c r="D16" i="7"/>
  <c r="D15" i="7"/>
  <c r="D11" i="7"/>
  <c r="D10" i="7"/>
  <c r="D8" i="7"/>
  <c r="D3" i="7"/>
  <c r="J112" i="2"/>
  <c r="J113" i="2"/>
  <c r="J114" i="2"/>
  <c r="G169" i="2"/>
  <c r="G171" i="2"/>
  <c r="AH23" i="2"/>
  <c r="AH24" i="2"/>
  <c r="AH25" i="2"/>
  <c r="AH34" i="6"/>
  <c r="AH35" i="6"/>
  <c r="AH36" i="6"/>
  <c r="AH37" i="6"/>
  <c r="AH38" i="6"/>
  <c r="AH39" i="6"/>
  <c r="AH40" i="6"/>
  <c r="AG4" i="1"/>
  <c r="AQ12" i="5"/>
  <c r="D106" i="5"/>
  <c r="AS16" i="5"/>
  <c r="AT16" i="5"/>
  <c r="D4" i="5"/>
  <c r="AS17" i="5"/>
  <c r="AT17" i="5"/>
  <c r="D12" i="5"/>
  <c r="AS18" i="5"/>
  <c r="AT18" i="5"/>
  <c r="AT19" i="5"/>
  <c r="AQ19" i="5"/>
  <c r="AT20" i="5"/>
  <c r="D13" i="5"/>
  <c r="AS4" i="5"/>
  <c r="AT4" i="5"/>
  <c r="D10" i="5"/>
  <c r="AS5" i="5"/>
  <c r="AT5" i="5"/>
  <c r="D14" i="5"/>
  <c r="AS6" i="5"/>
  <c r="AT6" i="5"/>
  <c r="D114" i="5"/>
  <c r="AS7" i="5"/>
  <c r="AT7" i="5"/>
  <c r="D18" i="5"/>
  <c r="AS8" i="5"/>
  <c r="AT8" i="5"/>
  <c r="AS9" i="5"/>
  <c r="AT9" i="5"/>
  <c r="AS10" i="5"/>
  <c r="AT10" i="5"/>
  <c r="D26" i="5"/>
  <c r="AS11" i="5"/>
  <c r="AT11" i="5"/>
  <c r="AT12" i="5"/>
  <c r="AT13" i="5"/>
  <c r="AM16" i="5"/>
  <c r="AN16" i="5"/>
  <c r="AM17" i="5"/>
  <c r="AN17" i="5"/>
  <c r="AM18" i="5"/>
  <c r="AN18" i="5"/>
  <c r="AN19" i="5"/>
  <c r="AK19" i="5"/>
  <c r="AK12" i="5"/>
  <c r="AM4" i="5"/>
  <c r="AN4" i="5"/>
  <c r="AM5" i="5"/>
  <c r="AN5" i="5"/>
  <c r="D11" i="5"/>
  <c r="AM6" i="5"/>
  <c r="AN6" i="5"/>
  <c r="AM7" i="5"/>
  <c r="AN7" i="5"/>
  <c r="AM8" i="5"/>
  <c r="AN8" i="5"/>
  <c r="AM9" i="5"/>
  <c r="AN9" i="5"/>
  <c r="AM10" i="5"/>
  <c r="AN10" i="5"/>
  <c r="AM11" i="5"/>
  <c r="AN11" i="5"/>
  <c r="AN12" i="5"/>
  <c r="AN13" i="5"/>
  <c r="AN20" i="5"/>
  <c r="AG4" i="5"/>
  <c r="AH4" i="5"/>
  <c r="AG5" i="5"/>
  <c r="AH5" i="5"/>
  <c r="AG6" i="5"/>
  <c r="AH6" i="5"/>
  <c r="AG7" i="5"/>
  <c r="AH7" i="5"/>
  <c r="AG8" i="5"/>
  <c r="AH8" i="5"/>
  <c r="AG9" i="5"/>
  <c r="AH9" i="5"/>
  <c r="AG10" i="5"/>
  <c r="AH10" i="5"/>
  <c r="D24" i="5"/>
  <c r="AG11" i="5"/>
  <c r="AH11" i="5"/>
  <c r="AG12" i="5"/>
  <c r="AH12" i="5"/>
  <c r="D28" i="5"/>
  <c r="AG13" i="5"/>
  <c r="AH13" i="5"/>
  <c r="AH14" i="5"/>
  <c r="AE14" i="5"/>
  <c r="AG18" i="5"/>
  <c r="AH18" i="5"/>
  <c r="AG19" i="5"/>
  <c r="AH19" i="5"/>
  <c r="AG20" i="5"/>
  <c r="AH20" i="5"/>
  <c r="AH21" i="5"/>
  <c r="AE21" i="5"/>
  <c r="AH22" i="5"/>
  <c r="AH15" i="5"/>
  <c r="AA15" i="5"/>
  <c r="AB15" i="5"/>
  <c r="AA16" i="5"/>
  <c r="AB16" i="5"/>
  <c r="AA17" i="5"/>
  <c r="AB17" i="5"/>
  <c r="AB18" i="5"/>
  <c r="Y18" i="5"/>
  <c r="AB19" i="5"/>
  <c r="AA4" i="5"/>
  <c r="AB4" i="5"/>
  <c r="AA5" i="5"/>
  <c r="AB5" i="5"/>
  <c r="AA6" i="5"/>
  <c r="AB6" i="5"/>
  <c r="AA7" i="5"/>
  <c r="AB7" i="5"/>
  <c r="AA8" i="5"/>
  <c r="AB8" i="5"/>
  <c r="D16" i="5"/>
  <c r="AA9" i="5"/>
  <c r="AB9" i="5"/>
  <c r="AA10" i="5"/>
  <c r="AB10" i="5"/>
  <c r="AB11" i="5"/>
  <c r="Y11" i="5"/>
  <c r="AB12" i="5"/>
  <c r="U4" i="5"/>
  <c r="V4" i="5"/>
  <c r="U15" i="5"/>
  <c r="V15" i="5"/>
  <c r="U16" i="5"/>
  <c r="V16" i="5"/>
  <c r="U17" i="5"/>
  <c r="V17" i="5"/>
  <c r="V18" i="5"/>
  <c r="S18" i="5"/>
  <c r="V19" i="5"/>
  <c r="S11" i="5"/>
  <c r="U5" i="5"/>
  <c r="V5" i="5"/>
  <c r="U6" i="5"/>
  <c r="V6" i="5"/>
  <c r="U7" i="5"/>
  <c r="V7" i="5"/>
  <c r="U8" i="5"/>
  <c r="V8" i="5"/>
  <c r="U9" i="5"/>
  <c r="V9" i="5"/>
  <c r="U10" i="5"/>
  <c r="V10" i="5"/>
  <c r="V11" i="5"/>
  <c r="V12" i="5"/>
  <c r="O4" i="5"/>
  <c r="P4" i="5"/>
  <c r="O5" i="5"/>
  <c r="P5" i="5"/>
  <c r="D5" i="5"/>
  <c r="O6" i="5"/>
  <c r="P6" i="5"/>
  <c r="D9" i="5"/>
  <c r="O7" i="5"/>
  <c r="P7" i="5"/>
  <c r="D43" i="5"/>
  <c r="O8" i="5"/>
  <c r="P8" i="5"/>
  <c r="D19" i="5"/>
  <c r="O9" i="5"/>
  <c r="P9" i="5"/>
  <c r="O10" i="5"/>
  <c r="P10" i="5"/>
  <c r="D102" i="5"/>
  <c r="O11" i="5"/>
  <c r="P11" i="5"/>
  <c r="D99" i="5"/>
  <c r="O12" i="5"/>
  <c r="P12" i="5"/>
  <c r="P13" i="5"/>
  <c r="M13" i="5"/>
  <c r="P14" i="5"/>
  <c r="D114" i="6"/>
  <c r="D80" i="6"/>
  <c r="AG27" i="6"/>
  <c r="AH27" i="6"/>
  <c r="D5" i="6"/>
  <c r="AG28" i="6"/>
  <c r="AH28" i="6"/>
  <c r="D46" i="6"/>
  <c r="AG29" i="6"/>
  <c r="AH29" i="6"/>
  <c r="AH30" i="6"/>
  <c r="AE30" i="6"/>
  <c r="AH31" i="6"/>
  <c r="AG17" i="6"/>
  <c r="AH17" i="6"/>
  <c r="D45" i="6"/>
  <c r="AG18" i="6"/>
  <c r="AH18" i="6"/>
  <c r="D105" i="6"/>
  <c r="AG19" i="6"/>
  <c r="AH19" i="6"/>
  <c r="D97" i="6"/>
  <c r="AG20" i="6"/>
  <c r="AH20" i="6"/>
  <c r="D98" i="6"/>
  <c r="AG21" i="6"/>
  <c r="AH21" i="6"/>
  <c r="D13" i="6"/>
  <c r="AG22" i="6"/>
  <c r="AH22" i="6"/>
  <c r="AH23" i="6"/>
  <c r="AE23" i="6"/>
  <c r="AH24" i="6"/>
  <c r="AG4" i="6"/>
  <c r="AH4" i="6"/>
  <c r="AG5" i="6"/>
  <c r="AH5" i="6"/>
  <c r="D6" i="6"/>
  <c r="AG6" i="6"/>
  <c r="AH6" i="6"/>
  <c r="D3" i="6"/>
  <c r="AG7" i="6"/>
  <c r="AH7" i="6"/>
  <c r="AG8" i="6"/>
  <c r="AH8" i="6"/>
  <c r="D101" i="6"/>
  <c r="AG9" i="6"/>
  <c r="AH9" i="6"/>
  <c r="D34" i="6"/>
  <c r="AG10" i="6"/>
  <c r="AH10" i="6"/>
  <c r="D4" i="6"/>
  <c r="AG11" i="6"/>
  <c r="AH11" i="6"/>
  <c r="D14" i="6"/>
  <c r="AG12" i="6"/>
  <c r="AH12" i="6"/>
  <c r="AH13" i="6"/>
  <c r="AE13" i="6"/>
  <c r="AH14" i="6"/>
  <c r="D74" i="6"/>
  <c r="AA27" i="6"/>
  <c r="AB27" i="6"/>
  <c r="AA28" i="6"/>
  <c r="AB28" i="6"/>
  <c r="AA29" i="6"/>
  <c r="AB29" i="6"/>
  <c r="AB30" i="6"/>
  <c r="Y30" i="6"/>
  <c r="AB31" i="6"/>
  <c r="AA17" i="6"/>
  <c r="AB17" i="6"/>
  <c r="AA18" i="6"/>
  <c r="AB18" i="6"/>
  <c r="AA19" i="6"/>
  <c r="AB19" i="6"/>
  <c r="AA20" i="6"/>
  <c r="AB20" i="6"/>
  <c r="AA21" i="6"/>
  <c r="AB21" i="6"/>
  <c r="AA22" i="6"/>
  <c r="AB22" i="6"/>
  <c r="AB23" i="6"/>
  <c r="Y23" i="6"/>
  <c r="AB24" i="6"/>
  <c r="AA4" i="6"/>
  <c r="AB4" i="6"/>
  <c r="AA5" i="6"/>
  <c r="AB5" i="6"/>
  <c r="AA6" i="6"/>
  <c r="AB6" i="6"/>
  <c r="AA7" i="6"/>
  <c r="AB7" i="6"/>
  <c r="AA8" i="6"/>
  <c r="AB8" i="6"/>
  <c r="AA9" i="6"/>
  <c r="AB9" i="6"/>
  <c r="AA10" i="6"/>
  <c r="AB10" i="6"/>
  <c r="AA11" i="6"/>
  <c r="AB11" i="6"/>
  <c r="AA12" i="6"/>
  <c r="AB12" i="6"/>
  <c r="AB13" i="6"/>
  <c r="Y13" i="6"/>
  <c r="AB14" i="6"/>
  <c r="D64" i="6"/>
  <c r="U27" i="6"/>
  <c r="V27" i="6"/>
  <c r="D65" i="6"/>
  <c r="U28" i="6"/>
  <c r="V28" i="6"/>
  <c r="U29" i="6"/>
  <c r="V29" i="6"/>
  <c r="D58" i="6"/>
  <c r="U30" i="6"/>
  <c r="V30" i="6"/>
  <c r="V31" i="6"/>
  <c r="S31" i="6"/>
  <c r="V32" i="6"/>
  <c r="D75" i="6"/>
  <c r="U17" i="6"/>
  <c r="V17" i="6"/>
  <c r="U18" i="6"/>
  <c r="V18" i="6"/>
  <c r="U19" i="6"/>
  <c r="V19" i="6"/>
  <c r="U20" i="6"/>
  <c r="V20" i="6"/>
  <c r="U21" i="6"/>
  <c r="V21" i="6"/>
  <c r="U22" i="6"/>
  <c r="V22" i="6"/>
  <c r="V23" i="6"/>
  <c r="S23" i="6"/>
  <c r="V24" i="6"/>
  <c r="U4" i="6"/>
  <c r="V4" i="6"/>
  <c r="U5" i="6"/>
  <c r="V5" i="6"/>
  <c r="U6" i="6"/>
  <c r="V6" i="6"/>
  <c r="U7" i="6"/>
  <c r="V7" i="6"/>
  <c r="U8" i="6"/>
  <c r="V8" i="6"/>
  <c r="U9" i="6"/>
  <c r="V9" i="6"/>
  <c r="D33" i="6"/>
  <c r="U10" i="6"/>
  <c r="V10" i="6"/>
  <c r="U11" i="6"/>
  <c r="V11" i="6"/>
  <c r="U12" i="6"/>
  <c r="V12" i="6"/>
  <c r="V13" i="6"/>
  <c r="S13" i="6"/>
  <c r="V14" i="6"/>
  <c r="O27" i="6"/>
  <c r="P27" i="6"/>
  <c r="O28" i="6"/>
  <c r="P28" i="6"/>
  <c r="O29" i="6"/>
  <c r="P29" i="6"/>
  <c r="P30" i="6"/>
  <c r="M30" i="6"/>
  <c r="P31" i="6"/>
  <c r="O17" i="6"/>
  <c r="P17" i="6"/>
  <c r="O18" i="6"/>
  <c r="P18" i="6"/>
  <c r="O19" i="6"/>
  <c r="P19" i="6"/>
  <c r="O20" i="6"/>
  <c r="P20" i="6"/>
  <c r="O21" i="6"/>
  <c r="P21" i="6"/>
  <c r="O22" i="6"/>
  <c r="P22" i="6"/>
  <c r="P23" i="6"/>
  <c r="M23" i="6"/>
  <c r="P24" i="6"/>
  <c r="O4" i="6"/>
  <c r="P4" i="6"/>
  <c r="O5" i="6"/>
  <c r="P5" i="6"/>
  <c r="O6" i="6"/>
  <c r="P6" i="6"/>
  <c r="O7" i="6"/>
  <c r="P7" i="6"/>
  <c r="O8" i="6"/>
  <c r="P8" i="6"/>
  <c r="O9" i="6"/>
  <c r="P9" i="6"/>
  <c r="O10" i="6"/>
  <c r="P10" i="6"/>
  <c r="O11" i="6"/>
  <c r="P11" i="6"/>
  <c r="O12" i="6"/>
  <c r="P12" i="6"/>
  <c r="P13" i="6"/>
  <c r="M13" i="6"/>
  <c r="P14" i="6"/>
  <c r="D113" i="6"/>
  <c r="D112" i="6"/>
  <c r="D81" i="6"/>
  <c r="I27" i="6"/>
  <c r="J27" i="6"/>
  <c r="I28" i="6"/>
  <c r="J28" i="6"/>
  <c r="I29" i="6"/>
  <c r="J29" i="6"/>
  <c r="J30" i="6"/>
  <c r="G30" i="6"/>
  <c r="J31" i="6"/>
  <c r="I17" i="6"/>
  <c r="J17" i="6"/>
  <c r="I18" i="6"/>
  <c r="J18" i="6"/>
  <c r="I19" i="6"/>
  <c r="J19" i="6"/>
  <c r="I20" i="6"/>
  <c r="J20" i="6"/>
  <c r="I21" i="6"/>
  <c r="J21" i="6"/>
  <c r="I22" i="6"/>
  <c r="J22" i="6"/>
  <c r="J23" i="6"/>
  <c r="G23" i="6"/>
  <c r="J24" i="6"/>
  <c r="I5" i="6"/>
  <c r="I6" i="6"/>
  <c r="I7" i="6"/>
  <c r="I8" i="6"/>
  <c r="I9" i="6"/>
  <c r="I10" i="6"/>
  <c r="I11" i="6"/>
  <c r="I12" i="6"/>
  <c r="I4" i="6"/>
  <c r="J4" i="6"/>
  <c r="J5" i="6"/>
  <c r="J6" i="6"/>
  <c r="J7" i="6"/>
  <c r="J8" i="6"/>
  <c r="J9" i="6"/>
  <c r="J10" i="6"/>
  <c r="J11" i="6"/>
  <c r="J12" i="6"/>
  <c r="J13" i="6"/>
  <c r="G13" i="6"/>
  <c r="J14" i="6"/>
  <c r="D111" i="6"/>
  <c r="D110" i="6"/>
  <c r="D109" i="6"/>
  <c r="D108" i="6"/>
  <c r="D107" i="6"/>
  <c r="D106" i="6"/>
  <c r="D104" i="6"/>
  <c r="D103" i="6"/>
  <c r="D102" i="6"/>
  <c r="D100" i="6"/>
  <c r="D99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79" i="6"/>
  <c r="D78" i="6"/>
  <c r="D77" i="6"/>
  <c r="D76" i="6"/>
  <c r="D73" i="6"/>
  <c r="D72" i="6"/>
  <c r="D71" i="6"/>
  <c r="D70" i="6"/>
  <c r="D69" i="6"/>
  <c r="D68" i="6"/>
  <c r="D67" i="6"/>
  <c r="D66" i="6"/>
  <c r="D63" i="6"/>
  <c r="D62" i="6"/>
  <c r="D61" i="6"/>
  <c r="D60" i="6"/>
  <c r="D59" i="6"/>
  <c r="D57" i="6"/>
  <c r="D56" i="6"/>
  <c r="D55" i="6"/>
  <c r="D54" i="6"/>
  <c r="D53" i="6"/>
  <c r="D52" i="6"/>
  <c r="D51" i="6"/>
  <c r="D50" i="6"/>
  <c r="D49" i="6"/>
  <c r="D48" i="6"/>
  <c r="D47" i="6"/>
  <c r="D44" i="6"/>
  <c r="D43" i="6"/>
  <c r="D42" i="6"/>
  <c r="D41" i="6"/>
  <c r="D40" i="6"/>
  <c r="D39" i="6"/>
  <c r="D38" i="6"/>
  <c r="D37" i="6"/>
  <c r="D36" i="6"/>
  <c r="D35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2" i="6"/>
  <c r="D11" i="6"/>
  <c r="D10" i="6"/>
  <c r="D9" i="6"/>
  <c r="D8" i="6"/>
  <c r="D7" i="6"/>
  <c r="D2" i="6"/>
  <c r="D97" i="4"/>
  <c r="AA4" i="4"/>
  <c r="AB4" i="4"/>
  <c r="D115" i="4"/>
  <c r="AA5" i="4"/>
  <c r="AB5" i="4"/>
  <c r="D45" i="4"/>
  <c r="AA6" i="4"/>
  <c r="AB6" i="4"/>
  <c r="D113" i="4"/>
  <c r="AA7" i="4"/>
  <c r="AB7" i="4"/>
  <c r="D5" i="4"/>
  <c r="AA8" i="4"/>
  <c r="AB8" i="4"/>
  <c r="D105" i="4"/>
  <c r="AA9" i="4"/>
  <c r="AB9" i="4"/>
  <c r="D38" i="4"/>
  <c r="AA10" i="4"/>
  <c r="AB10" i="4"/>
  <c r="D39" i="4"/>
  <c r="AA11" i="4"/>
  <c r="AB11" i="4"/>
  <c r="D98" i="4"/>
  <c r="AA12" i="4"/>
  <c r="AB12" i="4"/>
  <c r="AB13" i="4"/>
  <c r="Y13" i="4"/>
  <c r="I22" i="5"/>
  <c r="J22" i="5"/>
  <c r="I23" i="5"/>
  <c r="J23" i="5"/>
  <c r="I24" i="5"/>
  <c r="J24" i="5"/>
  <c r="I25" i="5"/>
  <c r="J25" i="5"/>
  <c r="J26" i="5"/>
  <c r="G26" i="5"/>
  <c r="I15" i="5"/>
  <c r="J15" i="5"/>
  <c r="I16" i="5"/>
  <c r="J16" i="5"/>
  <c r="I17" i="5"/>
  <c r="J17" i="5"/>
  <c r="J18" i="5"/>
  <c r="G18" i="5"/>
  <c r="I4" i="5"/>
  <c r="J4" i="5"/>
  <c r="I5" i="5"/>
  <c r="J5" i="5"/>
  <c r="I6" i="5"/>
  <c r="J6" i="5"/>
  <c r="I7" i="5"/>
  <c r="J7" i="5"/>
  <c r="I8" i="5"/>
  <c r="J8" i="5"/>
  <c r="I9" i="5"/>
  <c r="J9" i="5"/>
  <c r="I10" i="5"/>
  <c r="J10" i="5"/>
  <c r="J11" i="5"/>
  <c r="G11" i="5"/>
  <c r="J27" i="5"/>
  <c r="D113" i="5"/>
  <c r="J19" i="5"/>
  <c r="J12" i="5"/>
  <c r="D112" i="5"/>
  <c r="D111" i="5"/>
  <c r="D110" i="5"/>
  <c r="D109" i="5"/>
  <c r="D108" i="5"/>
  <c r="D107" i="5"/>
  <c r="D105" i="5"/>
  <c r="D104" i="5"/>
  <c r="D103" i="5"/>
  <c r="D101" i="5"/>
  <c r="D100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7" i="5"/>
  <c r="D25" i="5"/>
  <c r="D23" i="5"/>
  <c r="D22" i="5"/>
  <c r="D21" i="5"/>
  <c r="D20" i="5"/>
  <c r="D17" i="5"/>
  <c r="D15" i="5"/>
  <c r="D8" i="5"/>
  <c r="D7" i="5"/>
  <c r="D6" i="5"/>
  <c r="D3" i="5"/>
  <c r="D2" i="5"/>
  <c r="D97" i="3"/>
  <c r="AA38" i="3"/>
  <c r="AB38" i="3"/>
  <c r="D7" i="3"/>
  <c r="AA39" i="3"/>
  <c r="AB39" i="3"/>
  <c r="AB40" i="3"/>
  <c r="Y40" i="3"/>
  <c r="AB41" i="3"/>
  <c r="D113" i="3"/>
  <c r="AA23" i="3"/>
  <c r="AB23" i="3"/>
  <c r="D5" i="3"/>
  <c r="AA24" i="3"/>
  <c r="AB24" i="3"/>
  <c r="AA25" i="3"/>
  <c r="AB25" i="3"/>
  <c r="D46" i="3"/>
  <c r="AA26" i="3"/>
  <c r="AB26" i="3"/>
  <c r="D78" i="3"/>
  <c r="AA27" i="3"/>
  <c r="AB27" i="3"/>
  <c r="AB28" i="3"/>
  <c r="Y28" i="3"/>
  <c r="AB29" i="3"/>
  <c r="D39" i="2"/>
  <c r="AG18" i="2"/>
  <c r="AH18" i="2"/>
  <c r="AH19" i="2"/>
  <c r="AE19" i="2"/>
  <c r="AH20" i="2"/>
  <c r="D38" i="2"/>
  <c r="AG13" i="2"/>
  <c r="AH13" i="2"/>
  <c r="AH14" i="2"/>
  <c r="AE14" i="2"/>
  <c r="AH15" i="2"/>
  <c r="AH28" i="2"/>
  <c r="AH29" i="2"/>
  <c r="AH30" i="2"/>
  <c r="D44" i="2"/>
  <c r="AG4" i="2"/>
  <c r="AH4" i="2"/>
  <c r="D63" i="2"/>
  <c r="AG5" i="2"/>
  <c r="AH5" i="2"/>
  <c r="D65" i="2"/>
  <c r="AG6" i="2"/>
  <c r="AH6" i="2"/>
  <c r="D64" i="2"/>
  <c r="AG7" i="2"/>
  <c r="AH7" i="2"/>
  <c r="D43" i="2"/>
  <c r="AG8" i="2"/>
  <c r="AH8" i="2"/>
  <c r="AH9" i="2"/>
  <c r="AE9" i="2"/>
  <c r="AH10" i="2"/>
  <c r="D94" i="2"/>
  <c r="D114" i="3"/>
  <c r="D39" i="3"/>
  <c r="AY29" i="3"/>
  <c r="AZ29" i="3"/>
  <c r="AZ30" i="3"/>
  <c r="AW30" i="3"/>
  <c r="AZ31" i="3"/>
  <c r="D37" i="3"/>
  <c r="AY22" i="3"/>
  <c r="AZ22" i="3"/>
  <c r="D40" i="3"/>
  <c r="AY23" i="3"/>
  <c r="AZ23" i="3"/>
  <c r="D110" i="3"/>
  <c r="AY24" i="3"/>
  <c r="AZ24" i="3"/>
  <c r="AZ25" i="3"/>
  <c r="AW25" i="3"/>
  <c r="AZ26" i="3"/>
  <c r="AY14" i="3"/>
  <c r="AZ14" i="3"/>
  <c r="AY15" i="3"/>
  <c r="AZ15" i="3"/>
  <c r="D13" i="3"/>
  <c r="AY16" i="3"/>
  <c r="AZ16" i="3"/>
  <c r="AY17" i="3"/>
  <c r="AZ17" i="3"/>
  <c r="AZ18" i="3"/>
  <c r="AW18" i="3"/>
  <c r="AZ19" i="3"/>
  <c r="AY4" i="3"/>
  <c r="AZ4" i="3"/>
  <c r="D45" i="3"/>
  <c r="AY5" i="3"/>
  <c r="AZ5" i="3"/>
  <c r="AY6" i="3"/>
  <c r="AZ6" i="3"/>
  <c r="AY7" i="3"/>
  <c r="AZ7" i="3"/>
  <c r="D98" i="3"/>
  <c r="AY8" i="3"/>
  <c r="AZ8" i="3"/>
  <c r="D81" i="3"/>
  <c r="AY9" i="3"/>
  <c r="AZ9" i="3"/>
  <c r="AZ10" i="3"/>
  <c r="AW10" i="3"/>
  <c r="AZ11" i="3"/>
  <c r="AS26" i="3"/>
  <c r="AT26" i="3"/>
  <c r="AT27" i="3"/>
  <c r="AQ27" i="3"/>
  <c r="AT28" i="3"/>
  <c r="AS19" i="3"/>
  <c r="AT19" i="3"/>
  <c r="AS20" i="3"/>
  <c r="AT20" i="3"/>
  <c r="AS21" i="3"/>
  <c r="AT21" i="3"/>
  <c r="AT22" i="3"/>
  <c r="AQ22" i="3"/>
  <c r="AT23" i="3"/>
  <c r="D64" i="3"/>
  <c r="AS11" i="3"/>
  <c r="AT11" i="3"/>
  <c r="AS12" i="3"/>
  <c r="AT12" i="3"/>
  <c r="AS13" i="3"/>
  <c r="AT13" i="3"/>
  <c r="AS14" i="3"/>
  <c r="AT14" i="3"/>
  <c r="AT15" i="3"/>
  <c r="AQ15" i="3"/>
  <c r="AT16" i="3"/>
  <c r="D79" i="3"/>
  <c r="AS4" i="3"/>
  <c r="AT4" i="3"/>
  <c r="AS5" i="3"/>
  <c r="AT5" i="3"/>
  <c r="AS6" i="3"/>
  <c r="AT6" i="3"/>
  <c r="AT7" i="3"/>
  <c r="AQ7" i="3"/>
  <c r="AT8" i="3"/>
  <c r="AM33" i="4"/>
  <c r="AN33" i="4"/>
  <c r="AN34" i="4"/>
  <c r="AK34" i="4"/>
  <c r="AN35" i="4"/>
  <c r="AM23" i="4"/>
  <c r="AN23" i="4"/>
  <c r="AM24" i="4"/>
  <c r="AN24" i="4"/>
  <c r="AM25" i="4"/>
  <c r="AN25" i="4"/>
  <c r="AM26" i="4"/>
  <c r="AN26" i="4"/>
  <c r="AM27" i="4"/>
  <c r="AN27" i="4"/>
  <c r="D13" i="4"/>
  <c r="AM28" i="4"/>
  <c r="AN28" i="4"/>
  <c r="AN29" i="4"/>
  <c r="AK29" i="4"/>
  <c r="AM4" i="4"/>
  <c r="AN4" i="4"/>
  <c r="AM5" i="4"/>
  <c r="AN5" i="4"/>
  <c r="AM6" i="4"/>
  <c r="AN6" i="4"/>
  <c r="AM7" i="4"/>
  <c r="AN7" i="4"/>
  <c r="AM8" i="4"/>
  <c r="AN8" i="4"/>
  <c r="AM9" i="4"/>
  <c r="AN9" i="4"/>
  <c r="AM10" i="4"/>
  <c r="AN10" i="4"/>
  <c r="AM11" i="4"/>
  <c r="AN11" i="4"/>
  <c r="AN12" i="4"/>
  <c r="AK12" i="4"/>
  <c r="D37" i="4"/>
  <c r="AA17" i="4"/>
  <c r="AB17" i="4"/>
  <c r="D40" i="4"/>
  <c r="AA18" i="4"/>
  <c r="AB18" i="4"/>
  <c r="D110" i="4"/>
  <c r="AA19" i="4"/>
  <c r="AB19" i="4"/>
  <c r="AA20" i="4"/>
  <c r="AB20" i="4"/>
  <c r="AB21" i="4"/>
  <c r="Y21" i="4"/>
  <c r="AN30" i="4"/>
  <c r="AM16" i="4"/>
  <c r="AN16" i="4"/>
  <c r="AM17" i="4"/>
  <c r="AN17" i="4"/>
  <c r="AM18" i="4"/>
  <c r="AN18" i="4"/>
  <c r="AN19" i="4"/>
  <c r="AK19" i="4"/>
  <c r="AN20" i="4"/>
  <c r="AN13" i="4"/>
  <c r="AG13" i="4"/>
  <c r="AH13" i="4"/>
  <c r="AH14" i="4"/>
  <c r="AE14" i="4"/>
  <c r="AH15" i="4"/>
  <c r="AG4" i="4"/>
  <c r="AH4" i="4"/>
  <c r="AG5" i="4"/>
  <c r="AH5" i="4"/>
  <c r="AG6" i="4"/>
  <c r="AH6" i="4"/>
  <c r="AG7" i="4"/>
  <c r="AH7" i="4"/>
  <c r="AG8" i="4"/>
  <c r="AH8" i="4"/>
  <c r="AH9" i="4"/>
  <c r="AE9" i="4"/>
  <c r="AH10" i="4"/>
  <c r="AA25" i="4"/>
  <c r="AB25" i="4"/>
  <c r="AB26" i="4"/>
  <c r="Y26" i="4"/>
  <c r="AB27" i="4"/>
  <c r="AB22" i="4"/>
  <c r="D64" i="4"/>
  <c r="D65" i="4"/>
  <c r="D58" i="4"/>
  <c r="AB14" i="4"/>
  <c r="D114" i="4"/>
  <c r="U14" i="4"/>
  <c r="U29" i="4"/>
  <c r="V29" i="4"/>
  <c r="V30" i="4"/>
  <c r="S30" i="4"/>
  <c r="V31" i="4"/>
  <c r="U22" i="4"/>
  <c r="V22" i="4"/>
  <c r="U23" i="4"/>
  <c r="V23" i="4"/>
  <c r="U24" i="4"/>
  <c r="V24" i="4"/>
  <c r="V25" i="4"/>
  <c r="S25" i="4"/>
  <c r="V26" i="4"/>
  <c r="V14" i="4"/>
  <c r="U15" i="4"/>
  <c r="V15" i="4"/>
  <c r="U16" i="4"/>
  <c r="V16" i="4"/>
  <c r="U17" i="4"/>
  <c r="V17" i="4"/>
  <c r="V18" i="4"/>
  <c r="S18" i="4"/>
  <c r="V19" i="4"/>
  <c r="U4" i="4"/>
  <c r="V4" i="4"/>
  <c r="U5" i="4"/>
  <c r="V5" i="4"/>
  <c r="U6" i="4"/>
  <c r="V6" i="4"/>
  <c r="U7" i="4"/>
  <c r="V7" i="4"/>
  <c r="U8" i="4"/>
  <c r="V8" i="4"/>
  <c r="D81" i="4"/>
  <c r="U9" i="4"/>
  <c r="V9" i="4"/>
  <c r="V10" i="4"/>
  <c r="S10" i="4"/>
  <c r="V11" i="4"/>
  <c r="M7" i="4"/>
  <c r="D79" i="4"/>
  <c r="O4" i="4"/>
  <c r="P4" i="4"/>
  <c r="O5" i="4"/>
  <c r="P5" i="4"/>
  <c r="D46" i="4"/>
  <c r="O6" i="4"/>
  <c r="P6" i="4"/>
  <c r="P7" i="4"/>
  <c r="O26" i="4"/>
  <c r="P26" i="4"/>
  <c r="P27" i="4"/>
  <c r="M27" i="4"/>
  <c r="P28" i="4"/>
  <c r="O19" i="4"/>
  <c r="P19" i="4"/>
  <c r="O20" i="4"/>
  <c r="P20" i="4"/>
  <c r="O21" i="4"/>
  <c r="P21" i="4"/>
  <c r="P22" i="4"/>
  <c r="M22" i="4"/>
  <c r="P23" i="4"/>
  <c r="O11" i="4"/>
  <c r="P11" i="4"/>
  <c r="O12" i="4"/>
  <c r="P12" i="4"/>
  <c r="O13" i="4"/>
  <c r="P13" i="4"/>
  <c r="O14" i="4"/>
  <c r="P14" i="4"/>
  <c r="P15" i="4"/>
  <c r="M15" i="4"/>
  <c r="P16" i="4"/>
  <c r="P8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J11" i="4"/>
  <c r="G11" i="4"/>
  <c r="J12" i="4"/>
  <c r="G19" i="4"/>
  <c r="I15" i="4"/>
  <c r="J15" i="4"/>
  <c r="I16" i="4"/>
  <c r="J16" i="4"/>
  <c r="I17" i="4"/>
  <c r="J17" i="4"/>
  <c r="I18" i="4"/>
  <c r="J18" i="4"/>
  <c r="J19" i="4"/>
  <c r="I30" i="4"/>
  <c r="J30" i="4"/>
  <c r="J31" i="4"/>
  <c r="G31" i="4"/>
  <c r="J32" i="4"/>
  <c r="I23" i="4"/>
  <c r="J23" i="4"/>
  <c r="I24" i="4"/>
  <c r="J24" i="4"/>
  <c r="I25" i="4"/>
  <c r="J25" i="4"/>
  <c r="J26" i="4"/>
  <c r="G26" i="4"/>
  <c r="J27" i="4"/>
  <c r="J20" i="4"/>
  <c r="D112" i="4"/>
  <c r="D111" i="4"/>
  <c r="D109" i="4"/>
  <c r="D108" i="4"/>
  <c r="D107" i="4"/>
  <c r="D106" i="4"/>
  <c r="D104" i="4"/>
  <c r="D103" i="4"/>
  <c r="D102" i="4"/>
  <c r="D101" i="4"/>
  <c r="D100" i="4"/>
  <c r="D99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0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3" i="4"/>
  <c r="D62" i="4"/>
  <c r="D61" i="4"/>
  <c r="D60" i="4"/>
  <c r="D59" i="4"/>
  <c r="D57" i="4"/>
  <c r="D56" i="4"/>
  <c r="D55" i="4"/>
  <c r="D54" i="4"/>
  <c r="D53" i="4"/>
  <c r="D52" i="4"/>
  <c r="D51" i="4"/>
  <c r="D50" i="4"/>
  <c r="D49" i="4"/>
  <c r="D48" i="4"/>
  <c r="D47" i="4"/>
  <c r="D44" i="4"/>
  <c r="D43" i="4"/>
  <c r="D42" i="4"/>
  <c r="D41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2" i="4"/>
  <c r="D11" i="4"/>
  <c r="D10" i="4"/>
  <c r="D9" i="4"/>
  <c r="D8" i="4"/>
  <c r="D7" i="4"/>
  <c r="D6" i="4"/>
  <c r="D4" i="4"/>
  <c r="D3" i="4"/>
  <c r="D2" i="4"/>
  <c r="D40" i="2"/>
  <c r="D110" i="2"/>
  <c r="D5" i="2"/>
  <c r="D58" i="2"/>
  <c r="D97" i="2"/>
  <c r="D45" i="2"/>
  <c r="D113" i="2"/>
  <c r="D105" i="2"/>
  <c r="D98" i="2"/>
  <c r="AA10" i="2"/>
  <c r="AB10" i="2"/>
  <c r="AA11" i="2"/>
  <c r="AB11" i="2"/>
  <c r="AB12" i="2"/>
  <c r="Y12" i="2"/>
  <c r="AB13" i="2"/>
  <c r="AA4" i="2"/>
  <c r="AB4" i="2"/>
  <c r="D42" i="2"/>
  <c r="AA5" i="2"/>
  <c r="AB5" i="2"/>
  <c r="AB6" i="2"/>
  <c r="Y6" i="2"/>
  <c r="AB7" i="2"/>
  <c r="U17" i="2"/>
  <c r="V17" i="2"/>
  <c r="V18" i="2"/>
  <c r="S18" i="2"/>
  <c r="V19" i="2"/>
  <c r="U12" i="2"/>
  <c r="V12" i="2"/>
  <c r="V13" i="2"/>
  <c r="S13" i="2"/>
  <c r="V14" i="2"/>
  <c r="U4" i="2"/>
  <c r="V4" i="2"/>
  <c r="U5" i="2"/>
  <c r="V5" i="2"/>
  <c r="D104" i="2"/>
  <c r="U6" i="2"/>
  <c r="V6" i="2"/>
  <c r="D112" i="2"/>
  <c r="U7" i="2"/>
  <c r="V7" i="2"/>
  <c r="V8" i="2"/>
  <c r="S8" i="2"/>
  <c r="V9" i="2"/>
  <c r="D30" i="2"/>
  <c r="O17" i="2"/>
  <c r="P17" i="2"/>
  <c r="P18" i="2"/>
  <c r="M18" i="2"/>
  <c r="P19" i="2"/>
  <c r="O12" i="2"/>
  <c r="P12" i="2"/>
  <c r="P13" i="2"/>
  <c r="M13" i="2"/>
  <c r="P14" i="2"/>
  <c r="O4" i="2"/>
  <c r="P4" i="2"/>
  <c r="O5" i="2"/>
  <c r="P5" i="2"/>
  <c r="O6" i="2"/>
  <c r="P6" i="2"/>
  <c r="O7" i="2"/>
  <c r="P7" i="2"/>
  <c r="P8" i="2"/>
  <c r="M8" i="2"/>
  <c r="P9" i="2"/>
  <c r="AH4" i="3"/>
  <c r="AH5" i="3"/>
  <c r="AH6" i="3"/>
  <c r="AA5" i="3"/>
  <c r="AB5" i="3"/>
  <c r="D96" i="3"/>
  <c r="AA6" i="3"/>
  <c r="AB6" i="3"/>
  <c r="D3" i="3"/>
  <c r="AA7" i="3"/>
  <c r="AB7" i="3"/>
  <c r="D2" i="3"/>
  <c r="AA8" i="3"/>
  <c r="AB8" i="3"/>
  <c r="AA9" i="3"/>
  <c r="AB9" i="3"/>
  <c r="AA10" i="3"/>
  <c r="AB10" i="3"/>
  <c r="D42" i="3"/>
  <c r="AA11" i="3"/>
  <c r="AB11" i="3"/>
  <c r="D4" i="3"/>
  <c r="AA4" i="3"/>
  <c r="AB4" i="3"/>
  <c r="AB12" i="3"/>
  <c r="Y12" i="3"/>
  <c r="AB13" i="3"/>
  <c r="U34" i="3"/>
  <c r="D16" i="3"/>
  <c r="U35" i="3"/>
  <c r="U36" i="3"/>
  <c r="D63" i="3"/>
  <c r="U33" i="3"/>
  <c r="U28" i="3"/>
  <c r="U19" i="3"/>
  <c r="D105" i="3"/>
  <c r="U20" i="3"/>
  <c r="U21" i="3"/>
  <c r="U22" i="3"/>
  <c r="U23" i="3"/>
  <c r="U18" i="3"/>
  <c r="D101" i="3"/>
  <c r="U5" i="3"/>
  <c r="D109" i="3"/>
  <c r="U6" i="3"/>
  <c r="U7" i="3"/>
  <c r="D6" i="3"/>
  <c r="U8" i="3"/>
  <c r="U9" i="3"/>
  <c r="U10" i="3"/>
  <c r="U11" i="3"/>
  <c r="D33" i="3"/>
  <c r="U12" i="3"/>
  <c r="D108" i="3"/>
  <c r="U13" i="3"/>
  <c r="U4" i="3"/>
  <c r="V33" i="3"/>
  <c r="V34" i="3"/>
  <c r="V35" i="3"/>
  <c r="V36" i="3"/>
  <c r="V37" i="3"/>
  <c r="S37" i="3"/>
  <c r="V38" i="3"/>
  <c r="V28" i="3"/>
  <c r="V29" i="3"/>
  <c r="S29" i="3"/>
  <c r="V30" i="3"/>
  <c r="V18" i="3"/>
  <c r="V19" i="3"/>
  <c r="V20" i="3"/>
  <c r="V21" i="3"/>
  <c r="V22" i="3"/>
  <c r="V23" i="3"/>
  <c r="V24" i="3"/>
  <c r="S24" i="3"/>
  <c r="V25" i="3"/>
  <c r="V4" i="3"/>
  <c r="V5" i="3"/>
  <c r="V6" i="3"/>
  <c r="V7" i="3"/>
  <c r="V8" i="3"/>
  <c r="V9" i="3"/>
  <c r="V10" i="3"/>
  <c r="V11" i="3"/>
  <c r="V12" i="3"/>
  <c r="V13" i="3"/>
  <c r="V14" i="3"/>
  <c r="S14" i="3"/>
  <c r="V15" i="3"/>
  <c r="D38" i="3"/>
  <c r="O65" i="3"/>
  <c r="M61" i="3"/>
  <c r="O54" i="3"/>
  <c r="O55" i="3"/>
  <c r="D107" i="3"/>
  <c r="O56" i="3"/>
  <c r="D104" i="3"/>
  <c r="O57" i="3"/>
  <c r="O58" i="3"/>
  <c r="D30" i="3"/>
  <c r="O59" i="3"/>
  <c r="D21" i="3"/>
  <c r="O60" i="3"/>
  <c r="O53" i="3"/>
  <c r="O45" i="3"/>
  <c r="O46" i="3"/>
  <c r="O47" i="3"/>
  <c r="O48" i="3"/>
  <c r="O44" i="3"/>
  <c r="O34" i="3"/>
  <c r="O35" i="3"/>
  <c r="O36" i="3"/>
  <c r="O37" i="3"/>
  <c r="O38" i="3"/>
  <c r="O39" i="3"/>
  <c r="O33" i="3"/>
  <c r="O24" i="3"/>
  <c r="D58" i="3"/>
  <c r="O25" i="3"/>
  <c r="O26" i="3"/>
  <c r="O27" i="3"/>
  <c r="D50" i="3"/>
  <c r="O28" i="3"/>
  <c r="M20" i="3"/>
  <c r="O15" i="3"/>
  <c r="O16" i="3"/>
  <c r="O17" i="3"/>
  <c r="O18" i="3"/>
  <c r="O19" i="3"/>
  <c r="O14" i="3"/>
  <c r="O5" i="3"/>
  <c r="O6" i="3"/>
  <c r="O7" i="3"/>
  <c r="O8" i="3"/>
  <c r="O9" i="3"/>
  <c r="O4" i="3"/>
  <c r="D52" i="2"/>
  <c r="I103" i="2"/>
  <c r="I104" i="2"/>
  <c r="D81" i="2"/>
  <c r="I105" i="2"/>
  <c r="I106" i="2"/>
  <c r="I107" i="2"/>
  <c r="I102" i="2"/>
  <c r="J102" i="2"/>
  <c r="J103" i="2"/>
  <c r="J104" i="2"/>
  <c r="J105" i="2"/>
  <c r="J106" i="2"/>
  <c r="J107" i="2"/>
  <c r="J108" i="2"/>
  <c r="G108" i="2"/>
  <c r="J109" i="2"/>
  <c r="J11" i="2"/>
  <c r="D102" i="2"/>
  <c r="I12" i="2"/>
  <c r="J12" i="2"/>
  <c r="I13" i="2"/>
  <c r="J13" i="2"/>
  <c r="I15" i="2"/>
  <c r="J15" i="2"/>
  <c r="I16" i="2"/>
  <c r="J16" i="2"/>
  <c r="I17" i="2"/>
  <c r="J17" i="2"/>
  <c r="I18" i="2"/>
  <c r="J18" i="2"/>
  <c r="J19" i="2"/>
  <c r="G19" i="2"/>
  <c r="J20" i="2"/>
  <c r="I90" i="2"/>
  <c r="J90" i="2"/>
  <c r="I91" i="2"/>
  <c r="J91" i="2"/>
  <c r="I92" i="2"/>
  <c r="J92" i="2"/>
  <c r="I93" i="2"/>
  <c r="J93" i="2"/>
  <c r="I94" i="2"/>
  <c r="J94" i="2"/>
  <c r="D13" i="2"/>
  <c r="I95" i="2"/>
  <c r="J95" i="2"/>
  <c r="I96" i="2"/>
  <c r="J96" i="2"/>
  <c r="I97" i="2"/>
  <c r="J97" i="2"/>
  <c r="J98" i="2"/>
  <c r="G98" i="2"/>
  <c r="J99" i="2"/>
  <c r="I79" i="2"/>
  <c r="J79" i="2"/>
  <c r="I80" i="2"/>
  <c r="J80" i="2"/>
  <c r="I81" i="2"/>
  <c r="J81" i="2"/>
  <c r="I82" i="2"/>
  <c r="J82" i="2"/>
  <c r="D37" i="2"/>
  <c r="I83" i="2"/>
  <c r="J83" i="2"/>
  <c r="I84" i="2"/>
  <c r="J84" i="2"/>
  <c r="J85" i="2"/>
  <c r="J86" i="2"/>
  <c r="G86" i="2"/>
  <c r="G75" i="2"/>
  <c r="I73" i="2"/>
  <c r="J73" i="2"/>
  <c r="I74" i="2"/>
  <c r="J74" i="2"/>
  <c r="I67" i="2"/>
  <c r="I68" i="2"/>
  <c r="I69" i="2"/>
  <c r="I70" i="2"/>
  <c r="I71" i="2"/>
  <c r="I72" i="2"/>
  <c r="I66" i="2"/>
  <c r="J66" i="2"/>
  <c r="J67" i="2"/>
  <c r="J68" i="2"/>
  <c r="J69" i="2"/>
  <c r="J70" i="2"/>
  <c r="J71" i="2"/>
  <c r="J72" i="2"/>
  <c r="J75" i="2"/>
  <c r="J76" i="2"/>
  <c r="I57" i="2"/>
  <c r="I58" i="2"/>
  <c r="D75" i="2"/>
  <c r="I59" i="2"/>
  <c r="I60" i="2"/>
  <c r="I61" i="2"/>
  <c r="I56" i="2"/>
  <c r="J56" i="2"/>
  <c r="J57" i="2"/>
  <c r="J58" i="2"/>
  <c r="J59" i="2"/>
  <c r="J60" i="2"/>
  <c r="J61" i="2"/>
  <c r="J62" i="2"/>
  <c r="G62" i="2"/>
  <c r="J63" i="2"/>
  <c r="I47" i="2"/>
  <c r="I48" i="2"/>
  <c r="D74" i="2"/>
  <c r="I49" i="2"/>
  <c r="I50" i="2"/>
  <c r="I51" i="2"/>
  <c r="I46" i="2"/>
  <c r="J46" i="2"/>
  <c r="J47" i="2"/>
  <c r="J48" i="2"/>
  <c r="J49" i="2"/>
  <c r="J50" i="2"/>
  <c r="J51" i="2"/>
  <c r="J52" i="2"/>
  <c r="G52" i="2"/>
  <c r="J53" i="2"/>
  <c r="G42" i="2"/>
  <c r="I34" i="2"/>
  <c r="J34" i="2"/>
  <c r="I35" i="2"/>
  <c r="J35" i="2"/>
  <c r="I36" i="2"/>
  <c r="J36" i="2"/>
  <c r="D78" i="2"/>
  <c r="I37" i="2"/>
  <c r="J37" i="2"/>
  <c r="D79" i="2"/>
  <c r="I38" i="2"/>
  <c r="J38" i="2"/>
  <c r="D73" i="2"/>
  <c r="I39" i="2"/>
  <c r="J39" i="2"/>
  <c r="I40" i="2"/>
  <c r="J40" i="2"/>
  <c r="I41" i="2"/>
  <c r="J41" i="2"/>
  <c r="J42" i="2"/>
  <c r="J43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J30" i="2"/>
  <c r="G30" i="2"/>
  <c r="J31" i="2"/>
  <c r="I4" i="3"/>
  <c r="P65" i="3"/>
  <c r="P66" i="3"/>
  <c r="M66" i="3"/>
  <c r="P67" i="3"/>
  <c r="P53" i="3"/>
  <c r="P54" i="3"/>
  <c r="P55" i="3"/>
  <c r="P56" i="3"/>
  <c r="P57" i="3"/>
  <c r="P58" i="3"/>
  <c r="P59" i="3"/>
  <c r="P60" i="3"/>
  <c r="P61" i="3"/>
  <c r="P62" i="3"/>
  <c r="P44" i="3"/>
  <c r="P45" i="3"/>
  <c r="P46" i="3"/>
  <c r="P47" i="3"/>
  <c r="P48" i="3"/>
  <c r="P49" i="3"/>
  <c r="M49" i="3"/>
  <c r="P50" i="3"/>
  <c r="P33" i="3"/>
  <c r="P34" i="3"/>
  <c r="P35" i="3"/>
  <c r="P36" i="3"/>
  <c r="P37" i="3"/>
  <c r="P38" i="3"/>
  <c r="P39" i="3"/>
  <c r="P40" i="3"/>
  <c r="M40" i="3"/>
  <c r="P41" i="3"/>
  <c r="P24" i="3"/>
  <c r="P25" i="3"/>
  <c r="P26" i="3"/>
  <c r="P27" i="3"/>
  <c r="P28" i="3"/>
  <c r="P29" i="3"/>
  <c r="M29" i="3"/>
  <c r="P30" i="3"/>
  <c r="P14" i="3"/>
  <c r="P15" i="3"/>
  <c r="P16" i="3"/>
  <c r="P17" i="3"/>
  <c r="P18" i="3"/>
  <c r="P19" i="3"/>
  <c r="P20" i="3"/>
  <c r="P21" i="3"/>
  <c r="P4" i="3"/>
  <c r="P5" i="3"/>
  <c r="P6" i="3"/>
  <c r="P7" i="3"/>
  <c r="P8" i="3"/>
  <c r="P9" i="3"/>
  <c r="P10" i="3"/>
  <c r="M10" i="3"/>
  <c r="P11" i="3"/>
  <c r="D103" i="3"/>
  <c r="I39" i="3"/>
  <c r="J39" i="3"/>
  <c r="I40" i="3"/>
  <c r="J40" i="3"/>
  <c r="I41" i="3"/>
  <c r="J41" i="3"/>
  <c r="D8" i="3"/>
  <c r="I42" i="3"/>
  <c r="J42" i="3"/>
  <c r="D102" i="3"/>
  <c r="I43" i="3"/>
  <c r="J43" i="3"/>
  <c r="I44" i="3"/>
  <c r="J44" i="3"/>
  <c r="J45" i="3"/>
  <c r="G45" i="3"/>
  <c r="J46" i="3"/>
  <c r="I32" i="3"/>
  <c r="J32" i="3"/>
  <c r="I33" i="3"/>
  <c r="J33" i="3"/>
  <c r="I34" i="3"/>
  <c r="J34" i="3"/>
  <c r="J35" i="3"/>
  <c r="G35" i="3"/>
  <c r="J36" i="3"/>
  <c r="D74" i="3"/>
  <c r="I24" i="3"/>
  <c r="J24" i="3"/>
  <c r="I25" i="3"/>
  <c r="J25" i="3"/>
  <c r="I26" i="3"/>
  <c r="J26" i="3"/>
  <c r="I27" i="3"/>
  <c r="J27" i="3"/>
  <c r="J28" i="3"/>
  <c r="G28" i="3"/>
  <c r="J29" i="3"/>
  <c r="I13" i="3"/>
  <c r="J13" i="3"/>
  <c r="I14" i="3"/>
  <c r="J14" i="3"/>
  <c r="D73" i="3"/>
  <c r="I15" i="3"/>
  <c r="J15" i="3"/>
  <c r="I16" i="3"/>
  <c r="J16" i="3"/>
  <c r="I17" i="3"/>
  <c r="J17" i="3"/>
  <c r="I18" i="3"/>
  <c r="J18" i="3"/>
  <c r="I19" i="3"/>
  <c r="J19" i="3"/>
  <c r="J20" i="3"/>
  <c r="G20" i="3"/>
  <c r="J21" i="3"/>
  <c r="J4" i="3"/>
  <c r="I5" i="3"/>
  <c r="J5" i="3"/>
  <c r="I6" i="3"/>
  <c r="J6" i="3"/>
  <c r="I7" i="3"/>
  <c r="J7" i="3"/>
  <c r="I8" i="3"/>
  <c r="J8" i="3"/>
  <c r="J9" i="3"/>
  <c r="G9" i="3"/>
  <c r="J10" i="3"/>
  <c r="D112" i="3"/>
  <c r="D111" i="3"/>
  <c r="D106" i="3"/>
  <c r="D100" i="3"/>
  <c r="D99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0" i="3"/>
  <c r="D77" i="3"/>
  <c r="D76" i="3"/>
  <c r="D75" i="3"/>
  <c r="D72" i="3"/>
  <c r="D71" i="3"/>
  <c r="D70" i="3"/>
  <c r="D69" i="3"/>
  <c r="D68" i="3"/>
  <c r="D67" i="3"/>
  <c r="D66" i="3"/>
  <c r="D65" i="3"/>
  <c r="D62" i="3"/>
  <c r="D61" i="3"/>
  <c r="D60" i="3"/>
  <c r="D59" i="3"/>
  <c r="D57" i="3"/>
  <c r="D56" i="3"/>
  <c r="D55" i="3"/>
  <c r="D54" i="3"/>
  <c r="D53" i="3"/>
  <c r="D52" i="3"/>
  <c r="D51" i="3"/>
  <c r="D49" i="3"/>
  <c r="D48" i="3"/>
  <c r="D47" i="3"/>
  <c r="D44" i="3"/>
  <c r="D43" i="3"/>
  <c r="D41" i="3"/>
  <c r="D36" i="3"/>
  <c r="D35" i="3"/>
  <c r="D34" i="3"/>
  <c r="D32" i="3"/>
  <c r="D31" i="3"/>
  <c r="D29" i="3"/>
  <c r="D28" i="3"/>
  <c r="D27" i="3"/>
  <c r="D26" i="3"/>
  <c r="D25" i="3"/>
  <c r="D24" i="3"/>
  <c r="D23" i="3"/>
  <c r="D22" i="3"/>
  <c r="D20" i="3"/>
  <c r="D19" i="3"/>
  <c r="D18" i="3"/>
  <c r="D17" i="3"/>
  <c r="D15" i="3"/>
  <c r="D14" i="3"/>
  <c r="D12" i="3"/>
  <c r="D11" i="3"/>
  <c r="D10" i="3"/>
  <c r="D9" i="3"/>
  <c r="D68" i="2"/>
  <c r="I4" i="2"/>
  <c r="J4" i="2"/>
  <c r="I5" i="2"/>
  <c r="J5" i="2"/>
  <c r="D7" i="2"/>
  <c r="I6" i="2"/>
  <c r="J6" i="2"/>
  <c r="J7" i="2"/>
  <c r="G7" i="2"/>
  <c r="J8" i="2"/>
  <c r="D111" i="2"/>
  <c r="D109" i="2"/>
  <c r="D108" i="2"/>
  <c r="D107" i="2"/>
  <c r="D106" i="2"/>
  <c r="D103" i="2"/>
  <c r="D101" i="2"/>
  <c r="D100" i="2"/>
  <c r="D99" i="2"/>
  <c r="D96" i="2"/>
  <c r="D95" i="2"/>
  <c r="D93" i="2"/>
  <c r="D92" i="2"/>
  <c r="D91" i="2"/>
  <c r="D90" i="2"/>
  <c r="D89" i="2"/>
  <c r="D88" i="2"/>
  <c r="D87" i="2"/>
  <c r="D86" i="2"/>
  <c r="D85" i="2"/>
  <c r="D84" i="2"/>
  <c r="D83" i="2"/>
  <c r="D82" i="2"/>
  <c r="D80" i="2"/>
  <c r="D77" i="2"/>
  <c r="D76" i="2"/>
  <c r="D72" i="2"/>
  <c r="D71" i="2"/>
  <c r="D70" i="2"/>
  <c r="D69" i="2"/>
  <c r="D67" i="2"/>
  <c r="D66" i="2"/>
  <c r="D62" i="2"/>
  <c r="D61" i="2"/>
  <c r="D60" i="2"/>
  <c r="D59" i="2"/>
  <c r="D57" i="2"/>
  <c r="D56" i="2"/>
  <c r="D55" i="2"/>
  <c r="D54" i="2"/>
  <c r="D53" i="2"/>
  <c r="D51" i="2"/>
  <c r="D50" i="2"/>
  <c r="D49" i="2"/>
  <c r="D48" i="2"/>
  <c r="D47" i="2"/>
  <c r="D46" i="2"/>
  <c r="D41" i="2"/>
  <c r="D36" i="2"/>
  <c r="D35" i="2"/>
  <c r="D34" i="2"/>
  <c r="D33" i="2"/>
  <c r="D32" i="2"/>
  <c r="D31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2" i="2"/>
  <c r="D11" i="2"/>
  <c r="D10" i="2"/>
  <c r="D9" i="2"/>
  <c r="D8" i="2"/>
  <c r="D6" i="2"/>
  <c r="D4" i="2"/>
  <c r="D3" i="2"/>
  <c r="D2" i="2"/>
  <c r="D78" i="1"/>
  <c r="AM27" i="1"/>
  <c r="AN27" i="1"/>
  <c r="D102" i="1"/>
  <c r="AM17" i="1"/>
  <c r="AN17" i="1"/>
  <c r="D5" i="1"/>
  <c r="AM18" i="1"/>
  <c r="AN18" i="1"/>
  <c r="D97" i="1"/>
  <c r="AA48" i="1"/>
  <c r="AB48" i="1"/>
  <c r="U60" i="1"/>
  <c r="V60" i="1"/>
  <c r="U29" i="1"/>
  <c r="V29" i="1"/>
  <c r="U30" i="1"/>
  <c r="V30" i="1"/>
  <c r="I43" i="1"/>
  <c r="J43" i="1"/>
  <c r="I44" i="1"/>
  <c r="J44" i="1"/>
  <c r="U39" i="1"/>
  <c r="V39" i="1"/>
  <c r="AM8" i="1"/>
  <c r="AN8" i="1"/>
  <c r="AS8" i="1"/>
  <c r="AT8" i="1"/>
  <c r="D101" i="1"/>
  <c r="AS23" i="1"/>
  <c r="AT23" i="1"/>
  <c r="D52" i="1"/>
  <c r="AS24" i="1"/>
  <c r="AT24" i="1"/>
  <c r="AS25" i="1"/>
  <c r="AT25" i="1"/>
  <c r="D96" i="1"/>
  <c r="AS19" i="1"/>
  <c r="AT19" i="1"/>
  <c r="D112" i="1"/>
  <c r="AS20" i="1"/>
  <c r="AT20" i="1"/>
  <c r="AS21" i="1"/>
  <c r="AT21" i="1"/>
  <c r="AS22" i="1"/>
  <c r="AT22" i="1"/>
  <c r="AT26" i="1"/>
  <c r="AQ46" i="1"/>
  <c r="D21" i="1"/>
  <c r="AS32" i="1"/>
  <c r="AT32" i="1"/>
  <c r="D22" i="1"/>
  <c r="AS30" i="1"/>
  <c r="AQ33" i="1"/>
  <c r="AT30" i="1"/>
  <c r="AT31" i="1"/>
  <c r="AT33" i="1"/>
  <c r="AT34" i="1"/>
  <c r="D92" i="1"/>
  <c r="AM42" i="1"/>
  <c r="AN42" i="1"/>
  <c r="AM43" i="1"/>
  <c r="AN43" i="1"/>
  <c r="D46" i="1"/>
  <c r="AM44" i="1"/>
  <c r="AN44" i="1"/>
  <c r="AM45" i="1"/>
  <c r="AN45" i="1"/>
  <c r="AN46" i="1"/>
  <c r="AM32" i="1"/>
  <c r="AN32" i="1"/>
  <c r="D45" i="1"/>
  <c r="AM33" i="1"/>
  <c r="AN33" i="1"/>
  <c r="D104" i="1"/>
  <c r="AM34" i="1"/>
  <c r="AN34" i="1"/>
  <c r="D37" i="1"/>
  <c r="AM35" i="1"/>
  <c r="AN35" i="1"/>
  <c r="AN36" i="1"/>
  <c r="AM37" i="1"/>
  <c r="AN37" i="1"/>
  <c r="AN38" i="1"/>
  <c r="AK38" i="1"/>
  <c r="AN39" i="1"/>
  <c r="AQ26" i="1"/>
  <c r="AT27" i="1"/>
  <c r="AT13" i="1"/>
  <c r="D95" i="1"/>
  <c r="AS14" i="1"/>
  <c r="AT14" i="1"/>
  <c r="AT15" i="1"/>
  <c r="AQ15" i="1"/>
  <c r="AT16" i="1"/>
  <c r="D111" i="1"/>
  <c r="AS7" i="1"/>
  <c r="AS5" i="1"/>
  <c r="D105" i="1"/>
  <c r="AS6" i="1"/>
  <c r="AS4" i="1"/>
  <c r="AT4" i="1"/>
  <c r="AT5" i="1"/>
  <c r="AT6" i="1"/>
  <c r="AT7" i="1"/>
  <c r="AT9" i="1"/>
  <c r="AQ9" i="1"/>
  <c r="AT10" i="1"/>
  <c r="D38" i="1"/>
  <c r="AA65" i="1"/>
  <c r="D30" i="1"/>
  <c r="AA59" i="1"/>
  <c r="Y66" i="1"/>
  <c r="AM50" i="1"/>
  <c r="AN50" i="1"/>
  <c r="AN51" i="1"/>
  <c r="AK51" i="1"/>
  <c r="AN52" i="1"/>
  <c r="AK46" i="1"/>
  <c r="AN47" i="1"/>
  <c r="D49" i="1"/>
  <c r="AM36" i="1"/>
  <c r="AM24" i="1"/>
  <c r="AM23" i="1"/>
  <c r="AN23" i="1"/>
  <c r="AN24" i="1"/>
  <c r="AM25" i="1"/>
  <c r="AN25" i="1"/>
  <c r="D88" i="1"/>
  <c r="AM26" i="1"/>
  <c r="AN26" i="1"/>
  <c r="AN28" i="1"/>
  <c r="AK28" i="1"/>
  <c r="AN29" i="1"/>
  <c r="D8" i="1"/>
  <c r="AM16" i="1"/>
  <c r="AM15" i="1"/>
  <c r="AM14" i="1"/>
  <c r="AM13" i="1"/>
  <c r="AN13" i="1"/>
  <c r="AN14" i="1"/>
  <c r="AN15" i="1"/>
  <c r="AN16" i="1"/>
  <c r="AN19" i="1"/>
  <c r="AK19" i="1"/>
  <c r="AN20" i="1"/>
  <c r="AM5" i="1"/>
  <c r="AM6" i="1"/>
  <c r="AM7" i="1"/>
  <c r="AM4" i="1"/>
  <c r="AN4" i="1"/>
  <c r="AN5" i="1"/>
  <c r="AN6" i="1"/>
  <c r="AN7" i="1"/>
  <c r="AN9" i="1"/>
  <c r="AK9" i="1"/>
  <c r="AN10" i="1"/>
  <c r="AB80" i="1"/>
  <c r="AB81" i="1"/>
  <c r="AB82" i="1"/>
  <c r="AB83" i="1"/>
  <c r="AB84" i="1"/>
  <c r="AB85" i="1"/>
  <c r="AB86" i="1"/>
  <c r="AA54" i="1"/>
  <c r="AA55" i="1"/>
  <c r="D107" i="1"/>
  <c r="AA56" i="1"/>
  <c r="AA57" i="1"/>
  <c r="AA58" i="1"/>
  <c r="AA60" i="1"/>
  <c r="AA53" i="1"/>
  <c r="AB53" i="1"/>
  <c r="AB54" i="1"/>
  <c r="AB55" i="1"/>
  <c r="AB56" i="1"/>
  <c r="AB57" i="1"/>
  <c r="AB58" i="1"/>
  <c r="AB59" i="1"/>
  <c r="AB60" i="1"/>
  <c r="AB61" i="1"/>
  <c r="Y61" i="1"/>
  <c r="AB62" i="1"/>
  <c r="AG34" i="1"/>
  <c r="D16" i="1"/>
  <c r="AG35" i="1"/>
  <c r="AG36" i="1"/>
  <c r="D63" i="1"/>
  <c r="AG33" i="1"/>
  <c r="AH33" i="1"/>
  <c r="AH34" i="1"/>
  <c r="AH35" i="1"/>
  <c r="AH36" i="1"/>
  <c r="AH37" i="1"/>
  <c r="AE37" i="1"/>
  <c r="AH38" i="1"/>
  <c r="AG28" i="1"/>
  <c r="AH28" i="1"/>
  <c r="AH29" i="1"/>
  <c r="AE29" i="1"/>
  <c r="AH30" i="1"/>
  <c r="AE24" i="1"/>
  <c r="AG19" i="1"/>
  <c r="AG20" i="1"/>
  <c r="AG21" i="1"/>
  <c r="AG22" i="1"/>
  <c r="AG23" i="1"/>
  <c r="AG18" i="1"/>
  <c r="AH18" i="1"/>
  <c r="AH19" i="1"/>
  <c r="D109" i="1"/>
  <c r="AH20" i="1"/>
  <c r="AH21" i="1"/>
  <c r="AH22" i="1"/>
  <c r="AH23" i="1"/>
  <c r="AH24" i="1"/>
  <c r="AH25" i="1"/>
  <c r="AE14" i="1"/>
  <c r="AH4" i="1"/>
  <c r="AG5" i="1"/>
  <c r="AH5" i="1"/>
  <c r="AG6" i="1"/>
  <c r="AH6" i="1"/>
  <c r="AG7" i="1"/>
  <c r="AH7" i="1"/>
  <c r="D6" i="1"/>
  <c r="AG8" i="1"/>
  <c r="AH8" i="1"/>
  <c r="AG9" i="1"/>
  <c r="AH9" i="1"/>
  <c r="AG10" i="1"/>
  <c r="AH10" i="1"/>
  <c r="D3" i="1"/>
  <c r="AG11" i="1"/>
  <c r="AH11" i="1"/>
  <c r="D33" i="1"/>
  <c r="AG12" i="1"/>
  <c r="AH12" i="1"/>
  <c r="D108" i="1"/>
  <c r="AG13" i="1"/>
  <c r="AH13" i="1"/>
  <c r="AH14" i="1"/>
  <c r="D110" i="1"/>
  <c r="G9" i="1"/>
  <c r="J4" i="1"/>
  <c r="J5" i="1"/>
  <c r="J6" i="1"/>
  <c r="J7" i="1"/>
  <c r="J8" i="1"/>
  <c r="J9" i="1"/>
  <c r="AH15" i="1"/>
  <c r="AA45" i="1"/>
  <c r="AA46" i="1"/>
  <c r="D39" i="1"/>
  <c r="AA47" i="1"/>
  <c r="AA44" i="1"/>
  <c r="AB44" i="1"/>
  <c r="AB45" i="1"/>
  <c r="AB46" i="1"/>
  <c r="AB47" i="1"/>
  <c r="AB49" i="1"/>
  <c r="Y49" i="1"/>
  <c r="AB50" i="1"/>
  <c r="AA38" i="1"/>
  <c r="AA34" i="1"/>
  <c r="AA35" i="1"/>
  <c r="AA36" i="1"/>
  <c r="AA37" i="1"/>
  <c r="AA39" i="1"/>
  <c r="AA33" i="1"/>
  <c r="AB33" i="1"/>
  <c r="AB34" i="1"/>
  <c r="AB35" i="1"/>
  <c r="AB36" i="1"/>
  <c r="AB37" i="1"/>
  <c r="AB38" i="1"/>
  <c r="AB39" i="1"/>
  <c r="AB40" i="1"/>
  <c r="Y40" i="1"/>
  <c r="AB41" i="1"/>
  <c r="Y29" i="1"/>
  <c r="AA24" i="1"/>
  <c r="AA26" i="1"/>
  <c r="AB24" i="1"/>
  <c r="D57" i="1"/>
  <c r="AA25" i="1"/>
  <c r="AB25" i="1"/>
  <c r="AB26" i="1"/>
  <c r="AA27" i="1"/>
  <c r="AB27" i="1"/>
  <c r="AA28" i="1"/>
  <c r="AB28" i="1"/>
  <c r="AB29" i="1"/>
  <c r="AB30" i="1"/>
  <c r="AA14" i="1"/>
  <c r="AB14" i="1"/>
  <c r="D44" i="1"/>
  <c r="AA15" i="1"/>
  <c r="AB15" i="1"/>
  <c r="AA16" i="1"/>
  <c r="AB16" i="1"/>
  <c r="AA17" i="1"/>
  <c r="AB17" i="1"/>
  <c r="AA18" i="1"/>
  <c r="AB18" i="1"/>
  <c r="AA19" i="1"/>
  <c r="AB19" i="1"/>
  <c r="AB20" i="1"/>
  <c r="Y20" i="1"/>
  <c r="AB21" i="1"/>
  <c r="Y10" i="1"/>
  <c r="AA4" i="1"/>
  <c r="AB4" i="1"/>
  <c r="D100" i="1"/>
  <c r="AA5" i="1"/>
  <c r="AB5" i="1"/>
  <c r="AA6" i="1"/>
  <c r="AB6" i="1"/>
  <c r="AA7" i="1"/>
  <c r="AB7" i="1"/>
  <c r="D12" i="1"/>
  <c r="AA8" i="1"/>
  <c r="AB8" i="1"/>
  <c r="D29" i="1"/>
  <c r="AA9" i="1"/>
  <c r="AB9" i="1"/>
  <c r="AB10" i="1"/>
  <c r="AB11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V52" i="1"/>
  <c r="S52" i="1"/>
  <c r="V53" i="1"/>
  <c r="U56" i="1"/>
  <c r="V56" i="1"/>
  <c r="U57" i="1"/>
  <c r="V57" i="1"/>
  <c r="U58" i="1"/>
  <c r="V58" i="1"/>
  <c r="U59" i="1"/>
  <c r="V59" i="1"/>
  <c r="V61" i="1"/>
  <c r="S61" i="1"/>
  <c r="V62" i="1"/>
  <c r="U35" i="1"/>
  <c r="V35" i="1"/>
  <c r="U36" i="1"/>
  <c r="V36" i="1"/>
  <c r="U37" i="1"/>
  <c r="V37" i="1"/>
  <c r="U38" i="1"/>
  <c r="V38" i="1"/>
  <c r="V40" i="1"/>
  <c r="S40" i="1"/>
  <c r="V41" i="1"/>
  <c r="U26" i="1"/>
  <c r="U27" i="1"/>
  <c r="U28" i="1"/>
  <c r="U25" i="1"/>
  <c r="V25" i="1"/>
  <c r="V26" i="1"/>
  <c r="V27" i="1"/>
  <c r="V28" i="1"/>
  <c r="V31" i="1"/>
  <c r="S31" i="1"/>
  <c r="V32" i="1"/>
  <c r="S21" i="1"/>
  <c r="U18" i="1"/>
  <c r="U15" i="1"/>
  <c r="V15" i="1"/>
  <c r="U16" i="1"/>
  <c r="V16" i="1"/>
  <c r="U17" i="1"/>
  <c r="V17" i="1"/>
  <c r="V18" i="1"/>
  <c r="U19" i="1"/>
  <c r="V19" i="1"/>
  <c r="U20" i="1"/>
  <c r="V20" i="1"/>
  <c r="V21" i="1"/>
  <c r="V22" i="1"/>
  <c r="U9" i="1"/>
  <c r="U5" i="1"/>
  <c r="U6" i="1"/>
  <c r="U7" i="1"/>
  <c r="U8" i="1"/>
  <c r="D50" i="1"/>
  <c r="U10" i="1"/>
  <c r="U4" i="1"/>
  <c r="V4" i="1"/>
  <c r="V5" i="1"/>
  <c r="V6" i="1"/>
  <c r="V7" i="1"/>
  <c r="V8" i="1"/>
  <c r="V9" i="1"/>
  <c r="V10" i="1"/>
  <c r="V11" i="1"/>
  <c r="S11" i="1"/>
  <c r="V12" i="1"/>
  <c r="D62" i="1"/>
  <c r="O48" i="1"/>
  <c r="P48" i="1"/>
  <c r="P49" i="1"/>
  <c r="M49" i="1"/>
  <c r="P50" i="1"/>
  <c r="P42" i="1"/>
  <c r="O43" i="1"/>
  <c r="P43" i="1"/>
  <c r="P44" i="1"/>
  <c r="M44" i="1"/>
  <c r="P45" i="1"/>
  <c r="O30" i="1"/>
  <c r="P30" i="1"/>
  <c r="O31" i="1"/>
  <c r="P31" i="1"/>
  <c r="O32" i="1"/>
  <c r="P32" i="1"/>
  <c r="O33" i="1"/>
  <c r="P33" i="1"/>
  <c r="O34" i="1"/>
  <c r="P34" i="1"/>
  <c r="O35" i="1"/>
  <c r="P35" i="1"/>
  <c r="P36" i="1"/>
  <c r="O37" i="1"/>
  <c r="P37" i="1"/>
  <c r="P38" i="1"/>
  <c r="M38" i="1"/>
  <c r="P39" i="1"/>
  <c r="D106" i="1"/>
  <c r="D94" i="1"/>
  <c r="O24" i="1"/>
  <c r="P23" i="1"/>
  <c r="P24" i="1"/>
  <c r="O25" i="1"/>
  <c r="P25" i="1"/>
  <c r="P26" i="1"/>
  <c r="M26" i="1"/>
  <c r="P27" i="1"/>
  <c r="O15" i="1"/>
  <c r="P15" i="1"/>
  <c r="O16" i="1"/>
  <c r="P16" i="1"/>
  <c r="O17" i="1"/>
  <c r="P17" i="1"/>
  <c r="O18" i="1"/>
  <c r="P18" i="1"/>
  <c r="P19" i="1"/>
  <c r="M19" i="1"/>
  <c r="P20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P11" i="1"/>
  <c r="M11" i="1"/>
  <c r="P12" i="1"/>
  <c r="J57" i="1"/>
  <c r="J58" i="1"/>
  <c r="J59" i="1"/>
  <c r="J60" i="1"/>
  <c r="J61" i="1"/>
  <c r="J62" i="1"/>
  <c r="I39" i="1"/>
  <c r="J39" i="1"/>
  <c r="I40" i="1"/>
  <c r="J40" i="1"/>
  <c r="I41" i="1"/>
  <c r="J41" i="1"/>
  <c r="I42" i="1"/>
  <c r="J42" i="1"/>
  <c r="J45" i="1"/>
  <c r="G45" i="1"/>
  <c r="J46" i="1"/>
  <c r="I32" i="1"/>
  <c r="J32" i="1"/>
  <c r="I33" i="1"/>
  <c r="J33" i="1"/>
  <c r="I34" i="1"/>
  <c r="J34" i="1"/>
  <c r="J35" i="1"/>
  <c r="G35" i="1"/>
  <c r="J36" i="1"/>
  <c r="D74" i="1"/>
  <c r="I24" i="1"/>
  <c r="J24" i="1"/>
  <c r="I25" i="1"/>
  <c r="J25" i="1"/>
  <c r="I26" i="1"/>
  <c r="J26" i="1"/>
  <c r="I27" i="1"/>
  <c r="J27" i="1"/>
  <c r="J28" i="1"/>
  <c r="G28" i="1"/>
  <c r="J29" i="1"/>
  <c r="I13" i="1"/>
  <c r="J13" i="1"/>
  <c r="D79" i="1"/>
  <c r="I14" i="1"/>
  <c r="J14" i="1"/>
  <c r="D73" i="1"/>
  <c r="I15" i="1"/>
  <c r="J15" i="1"/>
  <c r="I16" i="1"/>
  <c r="J16" i="1"/>
  <c r="I17" i="1"/>
  <c r="J17" i="1"/>
  <c r="I18" i="1"/>
  <c r="J18" i="1"/>
  <c r="I19" i="1"/>
  <c r="J19" i="1"/>
  <c r="J20" i="1"/>
  <c r="G20" i="1"/>
  <c r="J21" i="1"/>
  <c r="J10" i="1"/>
  <c r="D9" i="1"/>
  <c r="D10" i="1"/>
  <c r="D11" i="1"/>
  <c r="D14" i="1"/>
  <c r="D15" i="1"/>
  <c r="D17" i="1"/>
  <c r="D18" i="1"/>
  <c r="D19" i="1"/>
  <c r="D20" i="1"/>
  <c r="D23" i="1"/>
  <c r="D24" i="1"/>
  <c r="D25" i="1"/>
  <c r="D26" i="1"/>
  <c r="D27" i="1"/>
  <c r="D28" i="1"/>
  <c r="D31" i="1"/>
  <c r="D32" i="1"/>
  <c r="D34" i="1"/>
  <c r="D35" i="1"/>
  <c r="D36" i="1"/>
  <c r="D40" i="1"/>
  <c r="D41" i="1"/>
  <c r="D42" i="1"/>
  <c r="D43" i="1"/>
  <c r="D47" i="1"/>
  <c r="D48" i="1"/>
  <c r="D51" i="1"/>
  <c r="D53" i="1"/>
  <c r="D54" i="1"/>
  <c r="D55" i="1"/>
  <c r="D56" i="1"/>
  <c r="D58" i="1"/>
  <c r="D59" i="1"/>
  <c r="D60" i="1"/>
  <c r="D61" i="1"/>
  <c r="D64" i="1"/>
  <c r="D65" i="1"/>
  <c r="D66" i="1"/>
  <c r="D67" i="1"/>
  <c r="D68" i="1"/>
  <c r="D69" i="1"/>
  <c r="D70" i="1"/>
  <c r="D71" i="1"/>
  <c r="D72" i="1"/>
  <c r="D75" i="1"/>
  <c r="D76" i="1"/>
  <c r="D77" i="1"/>
  <c r="D80" i="1"/>
  <c r="D81" i="1"/>
  <c r="D82" i="1"/>
  <c r="D83" i="1"/>
  <c r="D84" i="1"/>
  <c r="D85" i="1"/>
  <c r="D86" i="1"/>
  <c r="D87" i="1"/>
  <c r="D89" i="1"/>
  <c r="D90" i="1"/>
  <c r="D91" i="1"/>
  <c r="D93" i="1"/>
  <c r="D99" i="1"/>
  <c r="D2" i="1"/>
  <c r="AB65" i="1"/>
  <c r="AB66" i="1"/>
  <c r="AB67" i="1"/>
  <c r="J87" i="2"/>
</calcChain>
</file>

<file path=xl/sharedStrings.xml><?xml version="1.0" encoding="utf-8"?>
<sst xmlns="http://schemas.openxmlformats.org/spreadsheetml/2006/main" count="6637" uniqueCount="830">
  <si>
    <t>Item name</t>
  </si>
  <si>
    <t>Cost per Unit</t>
  </si>
  <si>
    <t>Unit</t>
  </si>
  <si>
    <t>Cost per g.</t>
  </si>
  <si>
    <t>Lemon tart</t>
  </si>
  <si>
    <t>Pistachio Paris Brest</t>
  </si>
  <si>
    <t>Beloha</t>
  </si>
  <si>
    <t>Tiramisu Tart</t>
  </si>
  <si>
    <t>Pistachio Cookie</t>
  </si>
  <si>
    <t>Black Forest</t>
  </si>
  <si>
    <t>Mille feuille</t>
  </si>
  <si>
    <t>Starbake polar</t>
  </si>
  <si>
    <t>Kg</t>
  </si>
  <si>
    <t>Baking powder</t>
  </si>
  <si>
    <t>Sweet dough</t>
  </si>
  <si>
    <t>Pate a choux</t>
  </si>
  <si>
    <t>Chocolate GF Streusel</t>
  </si>
  <si>
    <t>Chocolate Sweet Dough</t>
  </si>
  <si>
    <t>Cookie Dough</t>
  </si>
  <si>
    <t>Dark Chocolate Mousse</t>
  </si>
  <si>
    <t>Puff Pastry</t>
  </si>
  <si>
    <t>Regal Standard flour</t>
  </si>
  <si>
    <t>g</t>
  </si>
  <si>
    <t>Water</t>
  </si>
  <si>
    <t>Butter unsalted</t>
  </si>
  <si>
    <t>Milk</t>
  </si>
  <si>
    <t>Sugar</t>
  </si>
  <si>
    <t>Icing sugar (Melis)</t>
  </si>
  <si>
    <t>Eggmasse</t>
  </si>
  <si>
    <t>Liquid glucose</t>
  </si>
  <si>
    <t>Salt</t>
  </si>
  <si>
    <t>Sugar (brown)</t>
  </si>
  <si>
    <t>Green apple colorant</t>
  </si>
  <si>
    <t>Gelatin mass</t>
  </si>
  <si>
    <t>Egg yolk</t>
  </si>
  <si>
    <t>Gluten free flour</t>
  </si>
  <si>
    <t>Weiss Dark Galaxi 67%</t>
  </si>
  <si>
    <t>Vinegar</t>
  </si>
  <si>
    <t>Cocoa powder</t>
  </si>
  <si>
    <t>Cream</t>
  </si>
  <si>
    <t>Milk powder</t>
  </si>
  <si>
    <t>TOTAL</t>
  </si>
  <si>
    <t>Regal siktet speltmel</t>
  </si>
  <si>
    <t>Per gram</t>
  </si>
  <si>
    <t>Xanthana</t>
  </si>
  <si>
    <t>Regal havremel fin</t>
  </si>
  <si>
    <t>Regal spelt sammalt fin</t>
  </si>
  <si>
    <t>Lemon Cream</t>
  </si>
  <si>
    <t>Weiss dark chocolate drops 55%</t>
  </si>
  <si>
    <t>Sponge Cake</t>
  </si>
  <si>
    <t>Puff Pastry Laminated</t>
  </si>
  <si>
    <t>Lemon puree</t>
  </si>
  <si>
    <t>Coffee Namelaka</t>
  </si>
  <si>
    <t>Cocoa nibs</t>
  </si>
  <si>
    <t>Puff pastry dough</t>
  </si>
  <si>
    <t>Havregryn Lettkokte</t>
  </si>
  <si>
    <t>Lime puree</t>
  </si>
  <si>
    <t>Pistachio Praline</t>
  </si>
  <si>
    <t>Vanilla Insert</t>
  </si>
  <si>
    <t>Croissant butter</t>
  </si>
  <si>
    <t>Olive oil extra virgin</t>
  </si>
  <si>
    <t>L</t>
  </si>
  <si>
    <t>Lemon zest</t>
  </si>
  <si>
    <t>Pistachio whole</t>
  </si>
  <si>
    <t>Sunflower oil</t>
  </si>
  <si>
    <t>Blue yeast</t>
  </si>
  <si>
    <t>Weiss white Nevea 29%</t>
  </si>
  <si>
    <t>Salted Caramel</t>
  </si>
  <si>
    <t>Egg white</t>
  </si>
  <si>
    <t>Red yeast</t>
  </si>
  <si>
    <t>Pastry Cream</t>
  </si>
  <si>
    <t>Naturli vegan block</t>
  </si>
  <si>
    <t>Vanilla beans</t>
  </si>
  <si>
    <t>Stk</t>
  </si>
  <si>
    <t>Coffee beans</t>
  </si>
  <si>
    <t>Røremargarin</t>
  </si>
  <si>
    <t>Credishine base</t>
  </si>
  <si>
    <t>White fondant</t>
  </si>
  <si>
    <t>Pistachio Crunchy</t>
  </si>
  <si>
    <t>Confit Cherry</t>
  </si>
  <si>
    <t>Pumpkin seeds</t>
  </si>
  <si>
    <t>Passion Fruit Filling</t>
  </si>
  <si>
    <t>Pistachio praline</t>
  </si>
  <si>
    <t>Coffee Jelly Insert</t>
  </si>
  <si>
    <t>Griotte puree</t>
  </si>
  <si>
    <t>Frøblanding seed mix</t>
  </si>
  <si>
    <t>Passionfruit Puree</t>
  </si>
  <si>
    <t>Feuilletine</t>
  </si>
  <si>
    <t xml:space="preserve">Maizena </t>
  </si>
  <si>
    <t>Linnfrø</t>
  </si>
  <si>
    <t>Pectine NH</t>
  </si>
  <si>
    <t>Poppy seed (valmuefrø)</t>
  </si>
  <si>
    <t>Frozen cherry</t>
  </si>
  <si>
    <t>Sesame seeds</t>
  </si>
  <si>
    <t>Pistachio decor</t>
  </si>
  <si>
    <t>Coconut (shredded)</t>
  </si>
  <si>
    <t>Chocolate sticks Weiss 300 stk</t>
  </si>
  <si>
    <t>Box</t>
  </si>
  <si>
    <t>Diplómate pistachio</t>
  </si>
  <si>
    <t>Finishing</t>
  </si>
  <si>
    <t>Weiss milk chocolate Ceiba 41%</t>
  </si>
  <si>
    <t>Italian meringue</t>
  </si>
  <si>
    <t>Vanilla Namelaka</t>
  </si>
  <si>
    <t>Dark glaze</t>
  </si>
  <si>
    <t>Weiss milk chocolate drops 29%</t>
  </si>
  <si>
    <t>Weiss white drops 23%</t>
  </si>
  <si>
    <t>Felchlin bionda 36% caramelized white chocolate</t>
  </si>
  <si>
    <t>Sao Palme 36%</t>
  </si>
  <si>
    <t>Mille Feuille Cost</t>
  </si>
  <si>
    <t>Puff pastry</t>
  </si>
  <si>
    <t>Pastry cream</t>
  </si>
  <si>
    <t>Weiss Milk Galaxi 41%</t>
  </si>
  <si>
    <t>Fondant</t>
  </si>
  <si>
    <t>Cacao butter</t>
  </si>
  <si>
    <t>Pistachio Cookie Cost</t>
  </si>
  <si>
    <t>Farine Gruau t55</t>
  </si>
  <si>
    <t>Pistachio Gel</t>
  </si>
  <si>
    <t xml:space="preserve">Cookie dough </t>
  </si>
  <si>
    <t>Cherry Glaze</t>
  </si>
  <si>
    <t>Nappage</t>
  </si>
  <si>
    <t>Nevuline</t>
  </si>
  <si>
    <t>Salted caramel</t>
  </si>
  <si>
    <t>Raisins sultana</t>
  </si>
  <si>
    <t>Dark Glaze</t>
  </si>
  <si>
    <t>Milk Chocolate Namelaka</t>
  </si>
  <si>
    <t xml:space="preserve">Total pieces </t>
  </si>
  <si>
    <t>Candied orange slices</t>
  </si>
  <si>
    <t>Labor Cost</t>
  </si>
  <si>
    <t>Puff pastry dough + lamination</t>
  </si>
  <si>
    <t>Min</t>
  </si>
  <si>
    <t>Pectine Jaune</t>
  </si>
  <si>
    <t>Pistachio Decor</t>
  </si>
  <si>
    <t>Condensed milk</t>
  </si>
  <si>
    <t>Baking puff pastry</t>
  </si>
  <si>
    <t>44 sheets</t>
  </si>
  <si>
    <t>Agar-agar</t>
  </si>
  <si>
    <t>Lemon tart Cost</t>
  </si>
  <si>
    <t>Pistachio dices</t>
  </si>
  <si>
    <t>Pistachio Cookie AFTERNOON TEA Cost</t>
  </si>
  <si>
    <t>10 kg</t>
  </si>
  <si>
    <t>Vanilla paste</t>
  </si>
  <si>
    <t>Tart shell</t>
  </si>
  <si>
    <t>Chocolate Decor</t>
  </si>
  <si>
    <t>Finishing in the morning</t>
  </si>
  <si>
    <t>Lemon cream</t>
  </si>
  <si>
    <t>Fish gelatine powder</t>
  </si>
  <si>
    <t>Passion fruit filling</t>
  </si>
  <si>
    <t>Pistachio Paris Brest Cost</t>
  </si>
  <si>
    <t>Glucidex</t>
  </si>
  <si>
    <t>Sponge cake</t>
  </si>
  <si>
    <t>Dextrose</t>
  </si>
  <si>
    <t>Pistachio crunchy</t>
  </si>
  <si>
    <t>Black Forest Cost</t>
  </si>
  <si>
    <t>Isomalt powder</t>
  </si>
  <si>
    <t>Dark chocolate mousse</t>
  </si>
  <si>
    <t>Honning</t>
  </si>
  <si>
    <t>Lemon tart Cost AFTERNOON TEA</t>
  </si>
  <si>
    <t>Pistachio gel</t>
  </si>
  <si>
    <t>Pistachio Cookie FOX &amp; LOAF Cost</t>
  </si>
  <si>
    <t>Confit cherry</t>
  </si>
  <si>
    <t>Vanilla namelaka</t>
  </si>
  <si>
    <t>Apple dices jonagold</t>
  </si>
  <si>
    <t>Cherry glaze</t>
  </si>
  <si>
    <t>Peanuts</t>
  </si>
  <si>
    <t>Almonds no skin</t>
  </si>
  <si>
    <t>Hazelnut raw</t>
  </si>
  <si>
    <t>Beloha Cost</t>
  </si>
  <si>
    <t>Chocolate Disc</t>
  </si>
  <si>
    <t>Almond supreme with skin</t>
  </si>
  <si>
    <t>Almond sticks blanched</t>
  </si>
  <si>
    <t>Vanilla Cream Insert</t>
  </si>
  <si>
    <t>Almond sliced raw</t>
  </si>
  <si>
    <t>Sponge biscuit</t>
  </si>
  <si>
    <t>Almond powder</t>
  </si>
  <si>
    <t>Cardamom seeds</t>
  </si>
  <si>
    <t>Tiramisu Tart Cost</t>
  </si>
  <si>
    <t>Cardamom powder</t>
  </si>
  <si>
    <t>Milk chocolate namelaka</t>
  </si>
  <si>
    <t>Chocolate sweet dough</t>
  </si>
  <si>
    <t>Cinnamon powder</t>
  </si>
  <si>
    <t>Coffee namelaka</t>
  </si>
  <si>
    <t>Lime zest</t>
  </si>
  <si>
    <t>Coffee jelly insert</t>
  </si>
  <si>
    <t>Raspberry Puree</t>
  </si>
  <si>
    <t>Litchi Puree</t>
  </si>
  <si>
    <t>Chocolate disc</t>
  </si>
  <si>
    <t>Mango Puree</t>
  </si>
  <si>
    <t>Tiramisu Tart AFTERNOON TEA Cost</t>
  </si>
  <si>
    <t>Kokos Puree</t>
  </si>
  <si>
    <t>Solbaer puree /Cassis</t>
  </si>
  <si>
    <t>Apricot Puree</t>
  </si>
  <si>
    <t>Pear Puree</t>
  </si>
  <si>
    <t>Red Fruit Puree</t>
  </si>
  <si>
    <t>Blood orange Puree</t>
  </si>
  <si>
    <t>Orange Puree</t>
  </si>
  <si>
    <t>Mango cubes</t>
  </si>
  <si>
    <t>Exotic verbena Puree</t>
  </si>
  <si>
    <t>Strawberry Puree</t>
  </si>
  <si>
    <t>Apple puree</t>
  </si>
  <si>
    <t>Frozen blueberry</t>
  </si>
  <si>
    <t>GRYR matfløte</t>
  </si>
  <si>
    <t>Cream cheese KremGo</t>
  </si>
  <si>
    <t>Gelatin Mass</t>
  </si>
  <si>
    <t>Fat soluble colorant</t>
  </si>
  <si>
    <t>Macarons</t>
  </si>
  <si>
    <t>Chocolate Bomb</t>
  </si>
  <si>
    <t>Teddy bear</t>
  </si>
  <si>
    <t xml:space="preserve">Crunchy </t>
  </si>
  <si>
    <t>Mendiant</t>
  </si>
  <si>
    <t>TPT</t>
  </si>
  <si>
    <t>Marshmallow</t>
  </si>
  <si>
    <t>Crunchy Milk Chocolate</t>
  </si>
  <si>
    <t>Mendiant Nut Mix</t>
  </si>
  <si>
    <t>Crunchy Dark Chocolate</t>
  </si>
  <si>
    <t>Macaron Shells</t>
  </si>
  <si>
    <t>Chocolate Shell</t>
  </si>
  <si>
    <t>Dark Chocolate Coverture</t>
  </si>
  <si>
    <t>Milk Chocolate Crunchy Cost</t>
  </si>
  <si>
    <t>Milk Chocolate Coverture</t>
  </si>
  <si>
    <t>Crunchy Milk</t>
  </si>
  <si>
    <t>Dark Chocolate Crunchy Cost</t>
  </si>
  <si>
    <t>Crunchy Dark</t>
  </si>
  <si>
    <t>Chocolate Bomb Cost</t>
  </si>
  <si>
    <t>Dark Chocolate Teddy Bear Cost</t>
  </si>
  <si>
    <t>Vanilla Ganache</t>
  </si>
  <si>
    <t>Chocolate shell</t>
  </si>
  <si>
    <t>Dark Mendiant Cost</t>
  </si>
  <si>
    <t>Dark chocolate coverutre</t>
  </si>
  <si>
    <t>Nut mix</t>
  </si>
  <si>
    <t>Milk Chocolate Teddy Bear Cost</t>
  </si>
  <si>
    <t>Milk Mendiant Cost</t>
  </si>
  <si>
    <t>Making marshmallow</t>
  </si>
  <si>
    <t>Milk chocolate coverture</t>
  </si>
  <si>
    <t>Choc. Shells</t>
  </si>
  <si>
    <t>Milk chocolate coverutre</t>
  </si>
  <si>
    <t>Filling/closing</t>
  </si>
  <si>
    <t>Packaging</t>
  </si>
  <si>
    <t>Total</t>
  </si>
  <si>
    <t>560 pieces</t>
  </si>
  <si>
    <t>Lemon Ganache</t>
  </si>
  <si>
    <t>TOTAL TIME</t>
  </si>
  <si>
    <t>Filling mounds with marsh.</t>
  </si>
  <si>
    <t>Un mould teddy bears</t>
  </si>
  <si>
    <t>Spray/cover marshmallow</t>
  </si>
  <si>
    <t>Per Teddy bear</t>
  </si>
  <si>
    <t>Passion Fruit Ganache</t>
  </si>
  <si>
    <t>Raspberry Ganache</t>
  </si>
  <si>
    <t>Raspberry puree</t>
  </si>
  <si>
    <t>Salted Caramel Ganache</t>
  </si>
  <si>
    <t>Pistachio Ganache</t>
  </si>
  <si>
    <t>Milk Chocolate Ganache</t>
  </si>
  <si>
    <t>Black Currant Ganache</t>
  </si>
  <si>
    <t>Vanilla Macaron</t>
  </si>
  <si>
    <t>Macaron shell</t>
  </si>
  <si>
    <t>Sorbitol</t>
  </si>
  <si>
    <t>Vanilla ganache</t>
  </si>
  <si>
    <t>Lemon Macaron</t>
  </si>
  <si>
    <t>Lemon ganache</t>
  </si>
  <si>
    <t>Passion Fruit Macaron</t>
  </si>
  <si>
    <t>Passion fruit ganache</t>
  </si>
  <si>
    <t>Raspberry Macaron</t>
  </si>
  <si>
    <t>Raspberry ganache</t>
  </si>
  <si>
    <t>Salted Caramel Macaron</t>
  </si>
  <si>
    <t>Salted caramel ganache</t>
  </si>
  <si>
    <t>Pistachio Macaron</t>
  </si>
  <si>
    <t>Pistachio ganache</t>
  </si>
  <si>
    <t>Milk Chocolate Macaron</t>
  </si>
  <si>
    <t>Milk chocolate ganache</t>
  </si>
  <si>
    <t>Black Currant Macaron</t>
  </si>
  <si>
    <t>Scaling recipe</t>
  </si>
  <si>
    <t>2 batches</t>
  </si>
  <si>
    <t>Mixing macaron dough</t>
  </si>
  <si>
    <t>Prepping machine/trays</t>
  </si>
  <si>
    <t>Piping macarons</t>
  </si>
  <si>
    <t>4 people</t>
  </si>
  <si>
    <t>Filling macarons</t>
  </si>
  <si>
    <t>Packing macarons</t>
  </si>
  <si>
    <t>3 people</t>
  </si>
  <si>
    <t>3360 macarons</t>
  </si>
  <si>
    <t>Per macaron</t>
  </si>
  <si>
    <t>Coffee Capsule</t>
  </si>
  <si>
    <t>Lime Hazelnut Capsule</t>
  </si>
  <si>
    <t>Black Currant Pecan Capsule</t>
  </si>
  <si>
    <t>Red Fruit Tea Capsule</t>
  </si>
  <si>
    <t>Dark Chocolate Capsule</t>
  </si>
  <si>
    <t>Caramel Capsule</t>
  </si>
  <si>
    <t>Coffee ganache</t>
  </si>
  <si>
    <t>Lime Confit</t>
  </si>
  <si>
    <t>Black Currant Caramel</t>
  </si>
  <si>
    <t>Red Fruit Tea Ganache</t>
  </si>
  <si>
    <t>Dark chocolate Ganache</t>
  </si>
  <si>
    <t>Caramel Ganache</t>
  </si>
  <si>
    <t>Red fruit tea</t>
  </si>
  <si>
    <t>Hazelnut Praline</t>
  </si>
  <si>
    <t>Dark Chocolate Shell</t>
  </si>
  <si>
    <t>Pecan Praline</t>
  </si>
  <si>
    <t>Coffee Praline</t>
  </si>
  <si>
    <t>Pecan</t>
  </si>
  <si>
    <t>Orange Color Spray</t>
  </si>
  <si>
    <t>Red Color Spray</t>
  </si>
  <si>
    <t>Dark Chocolate Capsule Cost</t>
  </si>
  <si>
    <t>Green Color Spray</t>
  </si>
  <si>
    <t>Dark chocolate shell</t>
  </si>
  <si>
    <t>Dark chocolate ganache</t>
  </si>
  <si>
    <t>Purple Color Spray</t>
  </si>
  <si>
    <t>Coffee Color Spray</t>
  </si>
  <si>
    <t>Milk Chocolate Shell</t>
  </si>
  <si>
    <t>Red Fruit Tea Capsule Cost</t>
  </si>
  <si>
    <t>Lime Hazelnut Capsule Cost</t>
  </si>
  <si>
    <t>Milk chocolate shell</t>
  </si>
  <si>
    <t>Red Tea Ganache</t>
  </si>
  <si>
    <t>Lime confit</t>
  </si>
  <si>
    <t>Red color spray</t>
  </si>
  <si>
    <t>Hazelnut praline</t>
  </si>
  <si>
    <t>Coffee Capsule Cost</t>
  </si>
  <si>
    <t>Green color spray</t>
  </si>
  <si>
    <t>Pecan praline</t>
  </si>
  <si>
    <t>Coffee praline</t>
  </si>
  <si>
    <t>Purple color spray</t>
  </si>
  <si>
    <t>Caramel Capsule Cost</t>
  </si>
  <si>
    <t>Coffee color spray</t>
  </si>
  <si>
    <t>Orange color spray</t>
  </si>
  <si>
    <t>9.3 kg</t>
  </si>
  <si>
    <t>2 kg</t>
  </si>
  <si>
    <t>Spraying capsules</t>
  </si>
  <si>
    <t>Molding capsules</t>
  </si>
  <si>
    <t>Filling capsules</t>
  </si>
  <si>
    <t>Closing capsules</t>
  </si>
  <si>
    <t>Packing capsules</t>
  </si>
  <si>
    <t>630 capsules</t>
  </si>
  <si>
    <t>Per Capsule</t>
  </si>
  <si>
    <t>Scones</t>
  </si>
  <si>
    <t>Sandwiches</t>
  </si>
  <si>
    <t>Scones Dough</t>
  </si>
  <si>
    <t>Macaron 1 portion</t>
  </si>
  <si>
    <t>Testing afternoon tea 30/3</t>
  </si>
  <si>
    <t xml:space="preserve">Chicken Caesar </t>
  </si>
  <si>
    <t xml:space="preserve">Salmón chili soya dressing and Filadelfia </t>
  </si>
  <si>
    <t>Pastrami</t>
  </si>
  <si>
    <t>Scones 1 portion Cost</t>
  </si>
  <si>
    <t>Scones dough</t>
  </si>
  <si>
    <t>Jam</t>
  </si>
  <si>
    <t>Berries Jam</t>
  </si>
  <si>
    <t>Wild berries frozen</t>
  </si>
  <si>
    <t>Jam 1 portion Cost</t>
  </si>
  <si>
    <t>Chantilly</t>
  </si>
  <si>
    <t>Icing sugar (melis)</t>
  </si>
  <si>
    <t>Chantilly 1 portion</t>
  </si>
  <si>
    <t>Blueberry Cookie</t>
  </si>
  <si>
    <t>Raspberry Cookie</t>
  </si>
  <si>
    <t>Mocha Cookie</t>
  </si>
  <si>
    <t>Passion Fruit Cookie</t>
  </si>
  <si>
    <t>Coconut Cookie</t>
  </si>
  <si>
    <t>Blueberry Confit</t>
  </si>
  <si>
    <t>Raspberry Confit</t>
  </si>
  <si>
    <t>Passion Fruit Confit</t>
  </si>
  <si>
    <t>Coconut Confit</t>
  </si>
  <si>
    <t>BIG Blueberry Cookie Cost</t>
  </si>
  <si>
    <t>BIG Raspberry Cookie Cost</t>
  </si>
  <si>
    <t>BIG Passion Fruit Cookie Cost</t>
  </si>
  <si>
    <t>BIG Coconut Cookie Cost</t>
  </si>
  <si>
    <t>BIG Mocha Cookie Cost</t>
  </si>
  <si>
    <t>Blueberry confit</t>
  </si>
  <si>
    <t>Rasperry confit</t>
  </si>
  <si>
    <t>Passion fruit confit</t>
  </si>
  <si>
    <t>Coconut confit</t>
  </si>
  <si>
    <t>Blueberry</t>
  </si>
  <si>
    <t>Pine nuts</t>
  </si>
  <si>
    <t>SMALL Raspberry Cookie Cost</t>
  </si>
  <si>
    <t>SMALL Blueberry Cookie Cost</t>
  </si>
  <si>
    <t>SMALL Mocha Cookie Cost</t>
  </si>
  <si>
    <t>SMALL Passion Fruit Cookie Cost</t>
  </si>
  <si>
    <t>SMALL Coconut Cookie Cost</t>
  </si>
  <si>
    <t>Raspberry confit</t>
  </si>
  <si>
    <t>Rundstykke</t>
  </si>
  <si>
    <t>FOX Brioche</t>
  </si>
  <si>
    <t>Landbrød</t>
  </si>
  <si>
    <t>Ciabatta</t>
  </si>
  <si>
    <t>Spelt Brød</t>
  </si>
  <si>
    <t>Havre Brød</t>
  </si>
  <si>
    <t>Danish Rugbrød</t>
  </si>
  <si>
    <t>Rundstykke dough</t>
  </si>
  <si>
    <t>Brioche Dough</t>
  </si>
  <si>
    <t>Landbrød dough</t>
  </si>
  <si>
    <t>Ciabatta dough</t>
  </si>
  <si>
    <t>Spelt Bread Dough</t>
  </si>
  <si>
    <t>Havre Dough</t>
  </si>
  <si>
    <t>Rugbrød</t>
  </si>
  <si>
    <t>Regal rugmel</t>
  </si>
  <si>
    <t>Sourdough</t>
  </si>
  <si>
    <t>Sunflower seeds</t>
  </si>
  <si>
    <t>FOX LOAF Cost</t>
  </si>
  <si>
    <t>Brioche dough</t>
  </si>
  <si>
    <t>FOX Roll Cost</t>
  </si>
  <si>
    <t>Tiger Dough</t>
  </si>
  <si>
    <t>Landbrød Cost</t>
  </si>
  <si>
    <t>Ciabatta Cost</t>
  </si>
  <si>
    <t>Havre Bread Cost</t>
  </si>
  <si>
    <t>Havre dough</t>
  </si>
  <si>
    <t>FOX Burger Bun Cost</t>
  </si>
  <si>
    <t>Spelt Bread Cost</t>
  </si>
  <si>
    <t>Spelt dough</t>
  </si>
  <si>
    <t>Start to finish</t>
  </si>
  <si>
    <t>Per landbrød</t>
  </si>
  <si>
    <t>Per ciabatta</t>
  </si>
  <si>
    <t>Labor Cost LOAF</t>
  </si>
  <si>
    <t>Per havre</t>
  </si>
  <si>
    <t>Rundstykke Cost</t>
  </si>
  <si>
    <t>Per Fox Loaf</t>
  </si>
  <si>
    <t>Per spelt</t>
  </si>
  <si>
    <t>Tiger dough</t>
  </si>
  <si>
    <t>Labor Cost ROLLS</t>
  </si>
  <si>
    <t>Per roll/ 2 people</t>
  </si>
  <si>
    <t>Per rundstykke</t>
  </si>
  <si>
    <t>Labor Cost BURGER BUNS</t>
  </si>
  <si>
    <t>Food cost</t>
  </si>
  <si>
    <t>Labor cost pr hour</t>
  </si>
  <si>
    <t>Labor cost pr minute</t>
  </si>
  <si>
    <t>Product cost Vanilla Macaron</t>
  </si>
  <si>
    <t>Placing them in the freezer</t>
  </si>
  <si>
    <t>Croissant</t>
  </si>
  <si>
    <t>Croissant Dough</t>
  </si>
  <si>
    <t>Croissant Laminated Dough</t>
  </si>
  <si>
    <t>Croissant dough</t>
  </si>
  <si>
    <t>Croissant Cost</t>
  </si>
  <si>
    <t>Croissant laminated</t>
  </si>
  <si>
    <t>Croissant laminated dough</t>
  </si>
  <si>
    <t>Pain au Chocolat Cost</t>
  </si>
  <si>
    <t>Biscuit Madelaine</t>
  </si>
  <si>
    <t>Apricot Confit</t>
  </si>
  <si>
    <t>Apricot Mousse</t>
  </si>
  <si>
    <t>KK1 Cost</t>
  </si>
  <si>
    <t>Biscuit madelaine</t>
  </si>
  <si>
    <t>Apricot confit</t>
  </si>
  <si>
    <t>Apricot mousse</t>
  </si>
  <si>
    <t>TOTAL 1 box 3 strips</t>
  </si>
  <si>
    <t>TOTAL 1 frame 4 strips</t>
  </si>
  <si>
    <t>KK1 (Apricot)</t>
  </si>
  <si>
    <t>KK2 (Chocolate&amp;Pear)</t>
  </si>
  <si>
    <t>GF Sponge Cake</t>
  </si>
  <si>
    <t>Pear confit</t>
  </si>
  <si>
    <t>KK2 Cost</t>
  </si>
  <si>
    <t>GF sponge cake</t>
  </si>
  <si>
    <t>KK3 (Mango&amp;Coconut)</t>
  </si>
  <si>
    <t>Mango Marmelade</t>
  </si>
  <si>
    <t>Coconut mousse</t>
  </si>
  <si>
    <t>KK4 (Vegan Choc&amp;Strawberry)</t>
  </si>
  <si>
    <t>Vegan biscuit</t>
  </si>
  <si>
    <t>Strawberry Confit</t>
  </si>
  <si>
    <t>Vegan Whipped Ganache</t>
  </si>
  <si>
    <t>KK3 Cost</t>
  </si>
  <si>
    <t>KK4 Cost</t>
  </si>
  <si>
    <t>KK5 (Apples &amp; Caramel)</t>
  </si>
  <si>
    <t>KK5 Cost</t>
  </si>
  <si>
    <t>Caramelized Apple Marmelade</t>
  </si>
  <si>
    <t>Coconut cream</t>
  </si>
  <si>
    <t>Strawberry confit</t>
  </si>
  <si>
    <t>Vegan whipped ganache</t>
  </si>
  <si>
    <t>Apple marmelade</t>
  </si>
  <si>
    <t>BK1 (Pistachio&amp;Raspberry)</t>
  </si>
  <si>
    <t>Vanilla Mousse</t>
  </si>
  <si>
    <t>BK1 Cost</t>
  </si>
  <si>
    <t>Vanilla mousse</t>
  </si>
  <si>
    <t>BK2 (Honey &amp; Blueberry)</t>
  </si>
  <si>
    <t>Blueberry Insert</t>
  </si>
  <si>
    <t>Caramel Bavaroise</t>
  </si>
  <si>
    <t>Blueberry puree</t>
  </si>
  <si>
    <t>Honey Mousse</t>
  </si>
  <si>
    <t>Croustillant White Chocolate</t>
  </si>
  <si>
    <t>BK2 Cost</t>
  </si>
  <si>
    <t>Blueberry insert</t>
  </si>
  <si>
    <t>Honey mousse</t>
  </si>
  <si>
    <t>Croustillant</t>
  </si>
  <si>
    <t>BK3 (Chocolate)</t>
  </si>
  <si>
    <t>Custard Cream Suisse</t>
  </si>
  <si>
    <t>Pain Suisse</t>
  </si>
  <si>
    <t>Pain Suisse Cost</t>
  </si>
  <si>
    <t xml:space="preserve">Custard Cream </t>
  </si>
  <si>
    <t>Kanelboller</t>
  </si>
  <si>
    <t>Kanel dough</t>
  </si>
  <si>
    <t>Almond Cream Filling</t>
  </si>
  <si>
    <t>Croissant (svinn)</t>
  </si>
  <si>
    <t xml:space="preserve">Almond cream </t>
  </si>
  <si>
    <t>Kanel Filling</t>
  </si>
  <si>
    <t>Cardamom Filling</t>
  </si>
  <si>
    <t>Filling</t>
  </si>
  <si>
    <t>Kanelboller Cost</t>
  </si>
  <si>
    <t>TOTAL 1 stk</t>
  </si>
  <si>
    <t>Kardamommeboller Cost</t>
  </si>
  <si>
    <t>40 stk</t>
  </si>
  <si>
    <t>47 stk</t>
  </si>
  <si>
    <t>55 stk</t>
  </si>
  <si>
    <t xml:space="preserve">TOTAL 1 stk </t>
  </si>
  <si>
    <t>Almond Pastries</t>
  </si>
  <si>
    <t>Hr</t>
  </si>
  <si>
    <t>Product cost Lemon Macaron</t>
  </si>
  <si>
    <t>Staff cost</t>
  </si>
  <si>
    <t>Product cost PF Macaron</t>
  </si>
  <si>
    <t>Product cost Raspberry Macaron</t>
  </si>
  <si>
    <t>Product cost Saltad C. Macaron</t>
  </si>
  <si>
    <t>Product cost Pistachio Macaron</t>
  </si>
  <si>
    <t>Product cost Milk Choc. Macaron</t>
  </si>
  <si>
    <t>Product cost Black C. Macaron</t>
  </si>
  <si>
    <t>Labor cost</t>
  </si>
  <si>
    <t>Product cost Dark Teddy</t>
  </si>
  <si>
    <t>Product cost Milk Teddy</t>
  </si>
  <si>
    <t>Product cost Rundstykke</t>
  </si>
  <si>
    <t xml:space="preserve">Fox Loaf </t>
  </si>
  <si>
    <t>Product cost Fox Loaf</t>
  </si>
  <si>
    <t>Fox Rolls</t>
  </si>
  <si>
    <t>Fox Burger Buns</t>
  </si>
  <si>
    <t>Per Rugbrod</t>
  </si>
  <si>
    <t>Product cost Landbrød</t>
  </si>
  <si>
    <t>Spelt</t>
  </si>
  <si>
    <t>Product cost Spelt</t>
  </si>
  <si>
    <t>Product cost Ciabatta</t>
  </si>
  <si>
    <t>Danish</t>
  </si>
  <si>
    <t>Product cost Danish</t>
  </si>
  <si>
    <t>Havre</t>
  </si>
  <si>
    <t>Product cost Havre</t>
  </si>
  <si>
    <t>Black currant caramel</t>
  </si>
  <si>
    <t>25 kg (300stk)</t>
  </si>
  <si>
    <t>Filling tarts</t>
  </si>
  <si>
    <t>Pack tiramisu tarts</t>
  </si>
  <si>
    <t>138 stk</t>
  </si>
  <si>
    <t>3 kg</t>
  </si>
  <si>
    <t>Kanel / cardamom cream</t>
  </si>
  <si>
    <t>40 kg</t>
  </si>
  <si>
    <t>Spreading dough</t>
  </si>
  <si>
    <t>Filling, cutting</t>
  </si>
  <si>
    <t>Shaping</t>
  </si>
  <si>
    <t>640 stk</t>
  </si>
  <si>
    <t>Storage kanel made</t>
  </si>
  <si>
    <t>Cleaning table</t>
  </si>
  <si>
    <t>Scale/ mixing cookies</t>
  </si>
  <si>
    <t>Cleaning mixer</t>
  </si>
  <si>
    <t>Sheet/cut cookies</t>
  </si>
  <si>
    <t>Preparing boxes with blister</t>
  </si>
  <si>
    <t>38 boxes</t>
  </si>
  <si>
    <t>Pack bk1</t>
  </si>
  <si>
    <t>171 stk</t>
  </si>
  <si>
    <t>Scale make honey mousse</t>
  </si>
  <si>
    <t>500 stk</t>
  </si>
  <si>
    <t>Biscuit and ccrunchy</t>
  </si>
  <si>
    <t>3 trays</t>
  </si>
  <si>
    <t>Building bk2</t>
  </si>
  <si>
    <t>550 stk</t>
  </si>
  <si>
    <t>Pipe BK2</t>
  </si>
  <si>
    <t>Piping tiramisu tarts</t>
  </si>
  <si>
    <t>364 stk</t>
  </si>
  <si>
    <t>Piping bk3</t>
  </si>
  <si>
    <t>285 stk</t>
  </si>
  <si>
    <t>Piping Paris brest</t>
  </si>
  <si>
    <t>Dark choc. Mousse</t>
  </si>
  <si>
    <t>480 stk</t>
  </si>
  <si>
    <t>11 stk</t>
  </si>
  <si>
    <t xml:space="preserve">Glaze and cut </t>
  </si>
  <si>
    <t xml:space="preserve">Whip cream </t>
  </si>
  <si>
    <t>10 stk</t>
  </si>
  <si>
    <t>2013 stk</t>
  </si>
  <si>
    <t xml:space="preserve">Lemon cream </t>
  </si>
  <si>
    <t>Building beloha</t>
  </si>
  <si>
    <t>Cut KK5</t>
  </si>
  <si>
    <t>284 stk</t>
  </si>
  <si>
    <t>Packing/spraying</t>
  </si>
  <si>
    <t>Packing cookies</t>
  </si>
  <si>
    <t>896 stk</t>
  </si>
  <si>
    <t>320 stk</t>
  </si>
  <si>
    <t>Tourage suisse</t>
  </si>
  <si>
    <t>Cutting stripes for suisse</t>
  </si>
  <si>
    <t>Cutting bands</t>
  </si>
  <si>
    <t>Finish suisse</t>
  </si>
  <si>
    <t>Croissant tourage</t>
  </si>
  <si>
    <t>282 stk</t>
  </si>
  <si>
    <t>Cut and roll croissant</t>
  </si>
  <si>
    <t>pain au choc tourage</t>
  </si>
  <si>
    <t>275 stk</t>
  </si>
  <si>
    <t>4624 stk</t>
  </si>
  <si>
    <t>18 trays</t>
  </si>
  <si>
    <t>Rolling pain au choc</t>
  </si>
  <si>
    <t>300 stk</t>
  </si>
  <si>
    <t>950 stk</t>
  </si>
  <si>
    <t>48 stk</t>
  </si>
  <si>
    <t>Per choco bomb</t>
  </si>
  <si>
    <t>Choco bomb Cost</t>
  </si>
  <si>
    <t>Product cost choco b.</t>
  </si>
  <si>
    <t>Spraying cake</t>
  </si>
  <si>
    <t>Packing cakes</t>
  </si>
  <si>
    <t>Cutting Paris brest</t>
  </si>
  <si>
    <t>280 stk</t>
  </si>
  <si>
    <t>GF streusel</t>
  </si>
  <si>
    <t>Tea time sand</t>
  </si>
  <si>
    <t>24 stk</t>
  </si>
  <si>
    <t>Decorate gel/pistacge</t>
  </si>
  <si>
    <t>Cut KK3</t>
  </si>
  <si>
    <t>Milk ch namelaka mix</t>
  </si>
  <si>
    <t xml:space="preserve">Mix mousse </t>
  </si>
  <si>
    <t>Beloha decor</t>
  </si>
  <si>
    <t>Mixing dough</t>
  </si>
  <si>
    <t>22 patons</t>
  </si>
  <si>
    <t>Unmolud beloha</t>
  </si>
  <si>
    <t>Building bk1</t>
  </si>
  <si>
    <t>Building bk3</t>
  </si>
  <si>
    <t>660 stk</t>
  </si>
  <si>
    <t>Spread lemon mousse</t>
  </si>
  <si>
    <t>packing bk3</t>
  </si>
  <si>
    <t>Making vanilla inserts</t>
  </si>
  <si>
    <t>1000 stk</t>
  </si>
  <si>
    <t>20 kg</t>
  </si>
  <si>
    <t>Sheet and cut tarts</t>
  </si>
  <si>
    <t>Shaping tarts</t>
  </si>
  <si>
    <t>Praline insert</t>
  </si>
  <si>
    <t>298 stk</t>
  </si>
  <si>
    <t>Meringue/piping</t>
  </si>
  <si>
    <t>Scaling dough</t>
  </si>
  <si>
    <t xml:space="preserve"> Min</t>
  </si>
  <si>
    <t>315 stk</t>
  </si>
  <si>
    <t>650 stk</t>
  </si>
  <si>
    <t>Scaling/melting choc</t>
  </si>
  <si>
    <t>Making crunchies</t>
  </si>
  <si>
    <t>680 stk</t>
  </si>
  <si>
    <t>Packing crunchy</t>
  </si>
  <si>
    <t>Cut/sheet choc tart dough</t>
  </si>
  <si>
    <t>256 stk</t>
  </si>
  <si>
    <t>Spray tart dough</t>
  </si>
  <si>
    <t>dark choc mousse</t>
  </si>
  <si>
    <t>Spray, pipe, build, gel</t>
  </si>
  <si>
    <t>465 stk</t>
  </si>
  <si>
    <t>Raspberry insert</t>
  </si>
  <si>
    <t>1107 stk</t>
  </si>
  <si>
    <t>Cherry insert</t>
  </si>
  <si>
    <t>672 stk</t>
  </si>
  <si>
    <t>Cooking jam</t>
  </si>
  <si>
    <t>5000 g</t>
  </si>
  <si>
    <t>Pack almond crois</t>
  </si>
  <si>
    <t>Packing cakes/decorating</t>
  </si>
  <si>
    <t>466 stk</t>
  </si>
  <si>
    <t>Cutting pastries and prep</t>
  </si>
  <si>
    <t>unmold/spray tarts</t>
  </si>
  <si>
    <t>Per crunchy</t>
  </si>
  <si>
    <t>Cutting scones</t>
  </si>
  <si>
    <t>222 stk</t>
  </si>
  <si>
    <t>Building tiramisu tarts</t>
  </si>
  <si>
    <t>400 stk</t>
  </si>
  <si>
    <t>Spray/ put decor</t>
  </si>
  <si>
    <t>Choc decor for tart</t>
  </si>
  <si>
    <t>Making custard cream</t>
  </si>
  <si>
    <t>1133 stk</t>
  </si>
  <si>
    <t>Mixing scone dough</t>
  </si>
  <si>
    <t>Scaling</t>
  </si>
  <si>
    <t>Spread scone dough</t>
  </si>
  <si>
    <t>PF gel</t>
  </si>
  <si>
    <t>Packing tarts</t>
  </si>
  <si>
    <t>1100 stk</t>
  </si>
  <si>
    <t>making glaze</t>
  </si>
  <si>
    <t>Glazing beloha</t>
  </si>
  <si>
    <t>30 kg</t>
  </si>
  <si>
    <t>Cleaning piping machine</t>
  </si>
  <si>
    <t>pate a choux</t>
  </si>
  <si>
    <t>Coffee insertes</t>
  </si>
  <si>
    <t>Piping/cook pate a choux</t>
  </si>
  <si>
    <t>800 stk</t>
  </si>
  <si>
    <t>600 stk</t>
  </si>
  <si>
    <t>Craquelin/make sheet cut</t>
  </si>
  <si>
    <t>24 kg</t>
  </si>
  <si>
    <t xml:space="preserve">896 stk </t>
  </si>
  <si>
    <t>Spray cookies</t>
  </si>
  <si>
    <t xml:space="preserve">Decorate/piping pistachio cookie </t>
  </si>
  <si>
    <t>Per cookie</t>
  </si>
  <si>
    <t>Pistachio Cookie FOX Cost</t>
  </si>
  <si>
    <t>Pistachio Cookie AT Cost</t>
  </si>
  <si>
    <t>choc decor black forest</t>
  </si>
  <si>
    <t>4 batches</t>
  </si>
  <si>
    <t>making TPT</t>
  </si>
  <si>
    <t>14910 shells</t>
  </si>
  <si>
    <t>7455 macs</t>
  </si>
  <si>
    <t xml:space="preserve">Making ganache </t>
  </si>
  <si>
    <t>8 people</t>
  </si>
  <si>
    <t xml:space="preserve">We haven't made </t>
  </si>
  <si>
    <t>Product cost</t>
  </si>
  <si>
    <t>Product Cost</t>
  </si>
  <si>
    <t xml:space="preserve">Decorate/piping cookie </t>
  </si>
  <si>
    <t>Packing bk2</t>
  </si>
  <si>
    <t>Spraying</t>
  </si>
  <si>
    <t>Cleaning machine</t>
  </si>
  <si>
    <t>20 trays</t>
  </si>
  <si>
    <t>20 frames</t>
  </si>
  <si>
    <t>Scale/ make mousse</t>
  </si>
  <si>
    <t xml:space="preserve">Min </t>
  </si>
  <si>
    <t>Pour mousse in frame</t>
  </si>
  <si>
    <t>Cutting KK1/packing</t>
  </si>
  <si>
    <t xml:space="preserve">20 frames </t>
  </si>
  <si>
    <t>Product cost per frame</t>
  </si>
  <si>
    <t>Per box</t>
  </si>
  <si>
    <t>KK1</t>
  </si>
  <si>
    <t>Per tart</t>
  </si>
  <si>
    <t>Per PB</t>
  </si>
  <si>
    <t>min</t>
  </si>
  <si>
    <t>Per beloha</t>
  </si>
  <si>
    <t>Per black forest</t>
  </si>
  <si>
    <t>Per mile f</t>
  </si>
  <si>
    <t>Mille feuille Cost</t>
  </si>
  <si>
    <t>ask</t>
  </si>
  <si>
    <t>Whipped cream</t>
  </si>
  <si>
    <t>Per portion</t>
  </si>
  <si>
    <t>AT Tiramisu tart</t>
  </si>
  <si>
    <t>Minutes pr product</t>
  </si>
  <si>
    <t>Blueberry cookie BIG</t>
  </si>
  <si>
    <t>Personell cost</t>
  </si>
  <si>
    <t>Blueberry cookie Small</t>
  </si>
  <si>
    <t>Total cost</t>
  </si>
  <si>
    <t>Sales price to shop</t>
  </si>
  <si>
    <t>Sales price in shop</t>
  </si>
  <si>
    <t>Incl VAT</t>
  </si>
  <si>
    <t>Gross Margin %</t>
  </si>
  <si>
    <t>Contribution KR</t>
  </si>
  <si>
    <t>excl VAT</t>
  </si>
  <si>
    <t>Pastry Cakes</t>
  </si>
  <si>
    <t>Food cost%</t>
  </si>
  <si>
    <t>Added 15% in KR</t>
  </si>
  <si>
    <t>In store (25%VAT)</t>
  </si>
  <si>
    <t>Take away (15%VAT)</t>
  </si>
  <si>
    <t>BK1</t>
  </si>
  <si>
    <t>PRoduct Cost</t>
  </si>
  <si>
    <t>Red fruit ganache</t>
  </si>
  <si>
    <t>Choc ganache</t>
  </si>
  <si>
    <t>Caramel ganache</t>
  </si>
  <si>
    <t>Destockage</t>
  </si>
  <si>
    <t>Per croix</t>
  </si>
  <si>
    <t>Per pain au ch</t>
  </si>
  <si>
    <t>Lemon Tart</t>
  </si>
  <si>
    <t>Mille Feuille</t>
  </si>
  <si>
    <t>Pastry Confects</t>
  </si>
  <si>
    <t>Teddy Bear Milk Chocolate</t>
  </si>
  <si>
    <t>Teddy Bear Dark Chocolate</t>
  </si>
  <si>
    <t>Mendiant Milk Chocolate</t>
  </si>
  <si>
    <t>Mendiant Dark Chocolate</t>
  </si>
  <si>
    <t>Salted Caramel Capsule</t>
  </si>
  <si>
    <t xml:space="preserve">Capsules </t>
  </si>
  <si>
    <t>Afternoon Tea</t>
  </si>
  <si>
    <t>Lemon Tart Small</t>
  </si>
  <si>
    <t>Tiramisu Tart Small</t>
  </si>
  <si>
    <t>Pistachio Cookie Small</t>
  </si>
  <si>
    <t>Bread</t>
  </si>
  <si>
    <t>Fox Loaf</t>
  </si>
  <si>
    <t>Fox Roll</t>
  </si>
  <si>
    <t>Fox Burger Bun</t>
  </si>
  <si>
    <t>Danish rugbrød</t>
  </si>
  <si>
    <t>Vienoisserie</t>
  </si>
  <si>
    <t>Pain au Chocolate</t>
  </si>
  <si>
    <t>Kardamommeboller</t>
  </si>
  <si>
    <t>Thon Hotel</t>
  </si>
  <si>
    <t>KK2</t>
  </si>
  <si>
    <t>KK3</t>
  </si>
  <si>
    <t>KK4</t>
  </si>
  <si>
    <t>KK5</t>
  </si>
  <si>
    <t>BK2</t>
  </si>
  <si>
    <t>BK3</t>
  </si>
  <si>
    <t>Juniper</t>
  </si>
  <si>
    <t>Blueberry Cookie Big</t>
  </si>
  <si>
    <t>Blueberry Cookie Small</t>
  </si>
  <si>
    <t>Raspberry Cookie Big</t>
  </si>
  <si>
    <t>Raspberry Cookie Small</t>
  </si>
  <si>
    <t>Mocha Cookie Big</t>
  </si>
  <si>
    <t>Mocha Cookie Small</t>
  </si>
  <si>
    <t>Passion Fruit Cookie Big</t>
  </si>
  <si>
    <t>Passion Fruit Cookie Small</t>
  </si>
  <si>
    <t>Coconut Cookie Big</t>
  </si>
  <si>
    <t>Coconut Cookie Small</t>
  </si>
  <si>
    <t>GF Sponge cake</t>
  </si>
  <si>
    <t>puff pastry</t>
  </si>
  <si>
    <t>TIME</t>
  </si>
  <si>
    <t>Per</t>
  </si>
  <si>
    <t>Sheet</t>
  </si>
  <si>
    <t>12 stk</t>
  </si>
  <si>
    <t>Labor Cost Puff Pastry</t>
  </si>
  <si>
    <t>Labor Cost GF sponge cake</t>
  </si>
  <si>
    <t>per</t>
  </si>
  <si>
    <t>Gf disk</t>
  </si>
  <si>
    <t>Labor Cost Marshmallow</t>
  </si>
  <si>
    <t>Per Marshmallow</t>
  </si>
  <si>
    <t>Making/cutting marshm.</t>
  </si>
  <si>
    <t>Raspberry Cookie BIG</t>
  </si>
  <si>
    <t>Raspberry cookie Small</t>
  </si>
  <si>
    <t>Mocha Cookie BIG</t>
  </si>
  <si>
    <t>Mocha cookie Small</t>
  </si>
  <si>
    <t>PF confit</t>
  </si>
  <si>
    <t>PF Cookie BIG</t>
  </si>
  <si>
    <t>PF cookie Small</t>
  </si>
  <si>
    <t>Coconut Cookie BIG</t>
  </si>
  <si>
    <t xml:space="preserve">Croissant </t>
  </si>
  <si>
    <t>Pain Au Choc</t>
  </si>
  <si>
    <t>Labor Cost Croissant</t>
  </si>
  <si>
    <t>Labor Cost Pain au Chocolate</t>
  </si>
  <si>
    <t>Per suisse</t>
  </si>
  <si>
    <t xml:space="preserve">Per Kanelbolle </t>
  </si>
  <si>
    <t>Kanelbolle</t>
  </si>
  <si>
    <t>Kardamommebolller</t>
  </si>
  <si>
    <t>Almond croissant building</t>
  </si>
  <si>
    <t>Simple syrup</t>
  </si>
  <si>
    <t>20 L</t>
  </si>
  <si>
    <t>Spraying with syrup</t>
  </si>
  <si>
    <t>Per Almon prod.</t>
  </si>
  <si>
    <t>TOTALTIME</t>
  </si>
  <si>
    <t>Per BK2</t>
  </si>
  <si>
    <t>Per BK1</t>
  </si>
  <si>
    <t>Per BK3</t>
  </si>
  <si>
    <t>Pear Confit</t>
  </si>
  <si>
    <t>Take to freezer</t>
  </si>
  <si>
    <t>One trolley</t>
  </si>
  <si>
    <t>18 frames</t>
  </si>
  <si>
    <t>Coco bavaroise</t>
  </si>
  <si>
    <t>Mango marmelade</t>
  </si>
  <si>
    <t>VEgan biscuit</t>
  </si>
  <si>
    <t>Packing KK5</t>
  </si>
  <si>
    <t>Caramel bavaroise</t>
  </si>
  <si>
    <t>Building KK5</t>
  </si>
  <si>
    <t>Paris Brest</t>
  </si>
  <si>
    <t>Lime Capsule</t>
  </si>
  <si>
    <t>Lemon Tart AT</t>
  </si>
  <si>
    <t>Almond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</si>
</sst>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[$kr-414]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6"/>
      <name val="Yu Gothic"/>
      <family val="2"/>
      <charset val="128"/>
    </font>
    <font>
      <b/>
      <sz val="11"/>
      <color rgb="FFFF0000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94F"/>
        <bgColor indexed="64"/>
      </patternFill>
    </fill>
    <fill>
      <patternFill patternType="solid">
        <fgColor rgb="FFFFF3A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939B"/>
        <bgColor indexed="64"/>
      </patternFill>
    </fill>
    <fill>
      <patternFill patternType="solid">
        <fgColor rgb="FFFFD1D8"/>
        <bgColor indexed="64"/>
      </patternFill>
    </fill>
    <fill>
      <patternFill patternType="solid">
        <fgColor rgb="FFEBCDFF"/>
        <bgColor indexed="64"/>
      </patternFill>
    </fill>
    <fill>
      <patternFill patternType="solid">
        <fgColor rgb="FFF6E3FF"/>
        <bgColor indexed="64"/>
      </patternFill>
    </fill>
    <fill>
      <patternFill patternType="solid">
        <fgColor rgb="FFFFDE9C"/>
        <bgColor indexed="64"/>
      </patternFill>
    </fill>
    <fill>
      <patternFill patternType="solid">
        <fgColor rgb="FFFFE6C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C9B"/>
        <bgColor indexed="64"/>
      </patternFill>
    </fill>
    <fill>
      <patternFill patternType="solid">
        <fgColor rgb="FFFFF4D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4E2"/>
        <bgColor indexed="64"/>
      </patternFill>
    </fill>
    <fill>
      <patternFill patternType="solid">
        <fgColor rgb="FFFFDDEE"/>
        <bgColor indexed="64"/>
      </patternFill>
    </fill>
    <fill>
      <patternFill patternType="solid">
        <fgColor rgb="FFFBFF84"/>
        <bgColor indexed="64"/>
      </patternFill>
    </fill>
    <fill>
      <patternFill patternType="solid">
        <fgColor rgb="FFFDFFC4"/>
        <bgColor indexed="64"/>
      </patternFill>
    </fill>
    <fill>
      <patternFill patternType="solid">
        <fgColor rgb="FFEEB8FF"/>
        <bgColor indexed="64"/>
      </patternFill>
    </fill>
    <fill>
      <patternFill patternType="solid">
        <fgColor rgb="FFF8E3FF"/>
        <bgColor indexed="64"/>
      </patternFill>
    </fill>
    <fill>
      <patternFill patternType="solid">
        <fgColor rgb="FFFFD17C"/>
        <bgColor indexed="64"/>
      </patternFill>
    </fill>
    <fill>
      <patternFill patternType="solid">
        <fgColor rgb="FFFFE6B8"/>
        <bgColor indexed="64"/>
      </patternFill>
    </fill>
    <fill>
      <patternFill patternType="solid">
        <fgColor rgb="FFFFF06E"/>
        <bgColor indexed="64"/>
      </patternFill>
    </fill>
    <fill>
      <patternFill patternType="solid">
        <fgColor rgb="FFFFF8C2"/>
        <bgColor indexed="64"/>
      </patternFill>
    </fill>
    <fill>
      <patternFill patternType="solid">
        <fgColor rgb="FFFFABD4"/>
        <bgColor indexed="64"/>
      </patternFill>
    </fill>
    <fill>
      <patternFill patternType="solid">
        <fgColor rgb="FFFFD6EA"/>
        <bgColor indexed="64"/>
      </patternFill>
    </fill>
    <fill>
      <patternFill patternType="solid">
        <fgColor rgb="FFA3A9FF"/>
        <bgColor indexed="64"/>
      </patternFill>
    </fill>
    <fill>
      <patternFill patternType="solid">
        <fgColor rgb="FFDDDFFF"/>
        <bgColor indexed="64"/>
      </patternFill>
    </fill>
    <fill>
      <patternFill patternType="solid">
        <fgColor rgb="FFFFC3E2"/>
        <bgColor indexed="64"/>
      </patternFill>
    </fill>
    <fill>
      <patternFill patternType="solid">
        <fgColor rgb="FFE7DBFF"/>
        <bgColor indexed="64"/>
      </patternFill>
    </fill>
    <fill>
      <patternFill patternType="solid">
        <fgColor rgb="FFFBFFC1"/>
        <bgColor indexed="64"/>
      </patternFill>
    </fill>
    <fill>
      <patternFill patternType="solid">
        <fgColor rgb="FFF8E2FF"/>
        <bgColor indexed="64"/>
      </patternFill>
    </fill>
    <fill>
      <patternFill patternType="solid">
        <fgColor rgb="FFFFF6C1"/>
        <bgColor indexed="64"/>
      </patternFill>
    </fill>
    <fill>
      <patternFill patternType="solid">
        <fgColor rgb="FFFFCCDE"/>
        <bgColor indexed="64"/>
      </patternFill>
    </fill>
    <fill>
      <patternFill patternType="solid">
        <fgColor rgb="FFF5CCFF"/>
        <bgColor indexed="64"/>
      </patternFill>
    </fill>
    <fill>
      <patternFill patternType="solid">
        <fgColor rgb="FFFFD9AC"/>
        <bgColor indexed="64"/>
      </patternFill>
    </fill>
    <fill>
      <patternFill patternType="solid">
        <fgColor rgb="FFFFF8D1"/>
        <bgColor indexed="64"/>
      </patternFill>
    </fill>
  </fills>
  <borders count="1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2" xfId="0" applyBorder="1"/>
    <xf numFmtId="0" fontId="0" fillId="0" borderId="2" xfId="0" applyBorder="1" applyAlignment="1">
      <alignment wrapText="1"/>
    </xf>
    <xf numFmtId="43" fontId="0" fillId="0" borderId="2" xfId="0" applyNumberFormat="1" applyBorder="1"/>
    <xf numFmtId="43" fontId="0" fillId="0" borderId="2" xfId="0" applyNumberFormat="1" applyBorder="1" applyAlignment="1">
      <alignment horizontal="right"/>
    </xf>
    <xf numFmtId="0" fontId="0" fillId="0" borderId="4" xfId="0" applyBorder="1"/>
    <xf numFmtId="43" fontId="0" fillId="0" borderId="5" xfId="0" applyNumberFormat="1" applyBorder="1"/>
    <xf numFmtId="43" fontId="0" fillId="3" borderId="5" xfId="0" applyNumberFormat="1" applyFill="1" applyBorder="1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43" fontId="1" fillId="2" borderId="1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3" fontId="1" fillId="2" borderId="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43" fontId="0" fillId="0" borderId="1" xfId="0" applyNumberFormat="1" applyBorder="1"/>
    <xf numFmtId="0" fontId="0" fillId="0" borderId="3" xfId="0" applyBorder="1"/>
    <xf numFmtId="43" fontId="0" fillId="0" borderId="8" xfId="0" applyNumberFormat="1" applyBorder="1"/>
    <xf numFmtId="2" fontId="0" fillId="0" borderId="2" xfId="0" applyNumberFormat="1" applyBorder="1"/>
    <xf numFmtId="2" fontId="0" fillId="0" borderId="1" xfId="0" applyNumberFormat="1" applyBorder="1"/>
    <xf numFmtId="2" fontId="0" fillId="0" borderId="0" xfId="0" applyNumberFormat="1"/>
    <xf numFmtId="164" fontId="0" fillId="0" borderId="2" xfId="0" applyNumberFormat="1" applyBorder="1"/>
    <xf numFmtId="165" fontId="1" fillId="3" borderId="2" xfId="0" applyNumberFormat="1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5" fontId="0" fillId="0" borderId="1" xfId="0" applyNumberFormat="1" applyBorder="1"/>
    <xf numFmtId="0" fontId="1" fillId="0" borderId="0" xfId="0" applyFont="1" applyAlignment="1">
      <alignment vertical="center"/>
    </xf>
    <xf numFmtId="0" fontId="1" fillId="0" borderId="0" xfId="0" applyFont="1"/>
    <xf numFmtId="43" fontId="1" fillId="2" borderId="1" xfId="0" applyNumberFormat="1" applyFont="1" applyFill="1" applyBorder="1" applyAlignment="1">
      <alignment horizontal="left" vertical="center" wrapText="1"/>
    </xf>
    <xf numFmtId="165" fontId="1" fillId="0" borderId="0" xfId="0" applyNumberFormat="1" applyFont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2" xfId="0" applyFont="1" applyFill="1" applyBorder="1"/>
    <xf numFmtId="164" fontId="1" fillId="3" borderId="2" xfId="0" applyNumberFormat="1" applyFont="1" applyFill="1" applyBorder="1"/>
    <xf numFmtId="2" fontId="1" fillId="3" borderId="2" xfId="0" applyNumberFormat="1" applyFont="1" applyFill="1" applyBorder="1"/>
    <xf numFmtId="0" fontId="0" fillId="0" borderId="0" xfId="0" applyFill="1"/>
    <xf numFmtId="0" fontId="1" fillId="0" borderId="11" xfId="0" applyFont="1" applyBorder="1"/>
    <xf numFmtId="165" fontId="1" fillId="3" borderId="11" xfId="0" applyNumberFormat="1" applyFont="1" applyFill="1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65" fontId="1" fillId="0" borderId="2" xfId="0" applyNumberFormat="1" applyFont="1" applyFill="1" applyBorder="1"/>
    <xf numFmtId="165" fontId="1" fillId="0" borderId="1" xfId="0" applyNumberFormat="1" applyFont="1" applyFill="1" applyBorder="1"/>
    <xf numFmtId="165" fontId="0" fillId="0" borderId="2" xfId="0" applyNumberFormat="1" applyBorder="1"/>
    <xf numFmtId="0" fontId="1" fillId="0" borderId="0" xfId="0" applyFont="1" applyFill="1" applyBorder="1" applyAlignment="1"/>
    <xf numFmtId="165" fontId="0" fillId="0" borderId="4" xfId="0" applyNumberFormat="1" applyBorder="1"/>
    <xf numFmtId="0" fontId="1" fillId="3" borderId="4" xfId="0" applyFont="1" applyFill="1" applyBorder="1"/>
    <xf numFmtId="0" fontId="1" fillId="0" borderId="2" xfId="0" applyFont="1" applyFill="1" applyBorder="1"/>
    <xf numFmtId="164" fontId="1" fillId="0" borderId="2" xfId="0" applyNumberFormat="1" applyFont="1" applyFill="1" applyBorder="1"/>
    <xf numFmtId="0" fontId="1" fillId="0" borderId="2" xfId="0" applyFont="1" applyBorder="1"/>
    <xf numFmtId="0" fontId="0" fillId="0" borderId="0" xfId="0" applyFont="1"/>
    <xf numFmtId="9" fontId="1" fillId="0" borderId="0" xfId="0" applyNumberFormat="1" applyFont="1"/>
    <xf numFmtId="9" fontId="0" fillId="0" borderId="0" xfId="0" applyNumberForma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0" fontId="1" fillId="17" borderId="6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9" xfId="0" applyFont="1" applyFill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3" borderId="4" xfId="0" applyFont="1" applyFill="1" applyBorder="1" applyAlignment="1">
      <alignment horizontal="center"/>
    </xf>
    <xf numFmtId="0" fontId="1" fillId="43" borderId="7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44" borderId="4" xfId="0" applyFont="1" applyFill="1" applyBorder="1" applyAlignment="1">
      <alignment horizontal="center"/>
    </xf>
    <xf numFmtId="0" fontId="1" fillId="44" borderId="7" xfId="0" applyFont="1" applyFill="1" applyBorder="1" applyAlignment="1">
      <alignment horizontal="center"/>
    </xf>
    <xf numFmtId="0" fontId="1" fillId="45" borderId="4" xfId="0" applyFont="1" applyFill="1" applyBorder="1" applyAlignment="1">
      <alignment horizontal="center"/>
    </xf>
    <xf numFmtId="0" fontId="1" fillId="45" borderId="7" xfId="0" applyFont="1" applyFill="1" applyBorder="1" applyAlignment="1">
      <alignment horizontal="center"/>
    </xf>
    <xf numFmtId="0" fontId="1" fillId="29" borderId="2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/>
    </xf>
    <xf numFmtId="0" fontId="1" fillId="25" borderId="2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1" fillId="23" borderId="2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1" fillId="26" borderId="2" xfId="0" applyFont="1" applyFill="1" applyBorder="1" applyAlignment="1">
      <alignment horizontal="center"/>
    </xf>
    <xf numFmtId="0" fontId="1" fillId="24" borderId="4" xfId="0" applyFont="1" applyFill="1" applyBorder="1" applyAlignment="1">
      <alignment horizontal="center"/>
    </xf>
    <xf numFmtId="0" fontId="1" fillId="24" borderId="7" xfId="0" applyFont="1" applyFill="1" applyBorder="1" applyAlignment="1">
      <alignment horizontal="center"/>
    </xf>
    <xf numFmtId="0" fontId="1" fillId="20" borderId="2" xfId="0" applyFont="1" applyFill="1" applyBorder="1" applyAlignment="1">
      <alignment horizontal="center" vertical="center"/>
    </xf>
    <xf numFmtId="0" fontId="1" fillId="27" borderId="2" xfId="0" applyFont="1" applyFill="1" applyBorder="1" applyAlignment="1">
      <alignment horizontal="center" vertical="center"/>
    </xf>
    <xf numFmtId="0" fontId="1" fillId="28" borderId="2" xfId="0" applyFont="1" applyFill="1" applyBorder="1" applyAlignment="1">
      <alignment horizontal="center"/>
    </xf>
    <xf numFmtId="0" fontId="1" fillId="31" borderId="2" xfId="0" applyFont="1" applyFill="1" applyBorder="1" applyAlignment="1">
      <alignment horizontal="center" vertical="center"/>
    </xf>
    <xf numFmtId="0" fontId="1" fillId="32" borderId="2" xfId="0" applyFont="1" applyFill="1" applyBorder="1" applyAlignment="1">
      <alignment horizontal="center"/>
    </xf>
    <xf numFmtId="0" fontId="1" fillId="32" borderId="4" xfId="0" applyFont="1" applyFill="1" applyBorder="1" applyAlignment="1">
      <alignment horizontal="center"/>
    </xf>
    <xf numFmtId="0" fontId="1" fillId="32" borderId="6" xfId="0" applyFont="1" applyFill="1" applyBorder="1" applyAlignment="1">
      <alignment horizontal="center"/>
    </xf>
    <xf numFmtId="0" fontId="1" fillId="32" borderId="7" xfId="0" applyFont="1" applyFill="1" applyBorder="1" applyAlignment="1">
      <alignment horizontal="center"/>
    </xf>
    <xf numFmtId="0" fontId="1" fillId="43" borderId="2" xfId="0" applyFont="1" applyFill="1" applyBorder="1" applyAlignment="1">
      <alignment horizontal="center"/>
    </xf>
    <xf numFmtId="0" fontId="1" fillId="45" borderId="2" xfId="0" applyFont="1" applyFill="1" applyBorder="1" applyAlignment="1">
      <alignment horizontal="center"/>
    </xf>
    <xf numFmtId="0" fontId="1" fillId="44" borderId="2" xfId="0" applyFont="1" applyFill="1" applyBorder="1" applyAlignment="1">
      <alignment horizontal="center"/>
    </xf>
    <xf numFmtId="0" fontId="1" fillId="46" borderId="2" xfId="0" applyFont="1" applyFill="1" applyBorder="1" applyAlignment="1">
      <alignment horizontal="center"/>
    </xf>
    <xf numFmtId="0" fontId="1" fillId="46" borderId="4" xfId="0" applyFont="1" applyFill="1" applyBorder="1" applyAlignment="1">
      <alignment horizontal="center"/>
    </xf>
    <xf numFmtId="0" fontId="1" fillId="46" borderId="7" xfId="0" applyFont="1" applyFill="1" applyBorder="1" applyAlignment="1">
      <alignment horizontal="center"/>
    </xf>
    <xf numFmtId="0" fontId="1" fillId="42" borderId="4" xfId="0" applyFont="1" applyFill="1" applyBorder="1" applyAlignment="1">
      <alignment horizontal="center"/>
    </xf>
    <xf numFmtId="0" fontId="1" fillId="42" borderId="7" xfId="0" applyFont="1" applyFill="1" applyBorder="1" applyAlignment="1">
      <alignment horizontal="center"/>
    </xf>
    <xf numFmtId="0" fontId="1" fillId="41" borderId="4" xfId="0" applyFont="1" applyFill="1" applyBorder="1" applyAlignment="1">
      <alignment horizontal="center"/>
    </xf>
    <xf numFmtId="0" fontId="1" fillId="41" borderId="7" xfId="0" applyFont="1" applyFill="1" applyBorder="1" applyAlignment="1">
      <alignment horizontal="center"/>
    </xf>
    <xf numFmtId="0" fontId="1" fillId="22" borderId="4" xfId="0" applyFont="1" applyFill="1" applyBorder="1" applyAlignment="1">
      <alignment horizontal="center"/>
    </xf>
    <xf numFmtId="0" fontId="1" fillId="22" borderId="6" xfId="0" applyFont="1" applyFill="1" applyBorder="1" applyAlignment="1">
      <alignment horizontal="center"/>
    </xf>
    <xf numFmtId="0" fontId="1" fillId="22" borderId="7" xfId="0" applyFont="1" applyFill="1" applyBorder="1" applyAlignment="1">
      <alignment horizontal="center"/>
    </xf>
    <xf numFmtId="0" fontId="1" fillId="21" borderId="4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vertical="center"/>
    </xf>
    <xf numFmtId="0" fontId="1" fillId="21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3" borderId="2" xfId="0" applyFont="1" applyFill="1" applyBorder="1" applyAlignment="1">
      <alignment horizontal="center" vertical="center"/>
    </xf>
    <xf numFmtId="0" fontId="1" fillId="34" borderId="4" xfId="0" applyFont="1" applyFill="1" applyBorder="1" applyAlignment="1">
      <alignment horizontal="center"/>
    </xf>
    <xf numFmtId="0" fontId="1" fillId="34" borderId="6" xfId="0" applyFont="1" applyFill="1" applyBorder="1" applyAlignment="1">
      <alignment horizontal="center"/>
    </xf>
    <xf numFmtId="0" fontId="1" fillId="34" borderId="7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0" fontId="1" fillId="20" borderId="6" xfId="0" applyFont="1" applyFill="1" applyBorder="1" applyAlignment="1">
      <alignment horizontal="center" vertical="center"/>
    </xf>
    <xf numFmtId="0" fontId="1" fillId="20" borderId="7" xfId="0" applyFont="1" applyFill="1" applyBorder="1" applyAlignment="1">
      <alignment horizontal="center" vertical="center"/>
    </xf>
    <xf numFmtId="0" fontId="1" fillId="35" borderId="4" xfId="0" applyFont="1" applyFill="1" applyBorder="1" applyAlignment="1">
      <alignment horizontal="center" vertical="center"/>
    </xf>
    <xf numFmtId="0" fontId="1" fillId="35" borderId="6" xfId="0" applyFont="1" applyFill="1" applyBorder="1" applyAlignment="1">
      <alignment horizontal="center" vertical="center"/>
    </xf>
    <xf numFmtId="0" fontId="1" fillId="35" borderId="7" xfId="0" applyFont="1" applyFill="1" applyBorder="1" applyAlignment="1">
      <alignment horizontal="center" vertical="center"/>
    </xf>
    <xf numFmtId="0" fontId="1" fillId="36" borderId="4" xfId="0" applyFont="1" applyFill="1" applyBorder="1" applyAlignment="1">
      <alignment horizontal="center"/>
    </xf>
    <xf numFmtId="0" fontId="1" fillId="36" borderId="6" xfId="0" applyFont="1" applyFill="1" applyBorder="1" applyAlignment="1">
      <alignment horizontal="center"/>
    </xf>
    <xf numFmtId="0" fontId="1" fillId="36" borderId="7" xfId="0" applyFont="1" applyFill="1" applyBorder="1" applyAlignment="1">
      <alignment horizontal="center"/>
    </xf>
    <xf numFmtId="0" fontId="1" fillId="37" borderId="4" xfId="0" applyFont="1" applyFill="1" applyBorder="1" applyAlignment="1">
      <alignment horizontal="center" vertical="center"/>
    </xf>
    <xf numFmtId="0" fontId="1" fillId="37" borderId="6" xfId="0" applyFont="1" applyFill="1" applyBorder="1" applyAlignment="1">
      <alignment horizontal="center" vertical="center"/>
    </xf>
    <xf numFmtId="0" fontId="1" fillId="37" borderId="7" xfId="0" applyFont="1" applyFill="1" applyBorder="1" applyAlignment="1">
      <alignment horizontal="center" vertical="center"/>
    </xf>
    <xf numFmtId="0" fontId="1" fillId="38" borderId="4" xfId="0" applyFont="1" applyFill="1" applyBorder="1" applyAlignment="1">
      <alignment horizontal="center"/>
    </xf>
    <xf numFmtId="0" fontId="1" fillId="38" borderId="6" xfId="0" applyFont="1" applyFill="1" applyBorder="1" applyAlignment="1">
      <alignment horizontal="center"/>
    </xf>
    <xf numFmtId="0" fontId="1" fillId="38" borderId="7" xfId="0" applyFont="1" applyFill="1" applyBorder="1" applyAlignment="1">
      <alignment horizontal="center"/>
    </xf>
    <xf numFmtId="0" fontId="1" fillId="39" borderId="4" xfId="0" applyFont="1" applyFill="1" applyBorder="1" applyAlignment="1">
      <alignment horizontal="center"/>
    </xf>
    <xf numFmtId="0" fontId="1" fillId="39" borderId="7" xfId="0" applyFont="1" applyFill="1" applyBorder="1" applyAlignment="1">
      <alignment horizontal="center"/>
    </xf>
    <xf numFmtId="0" fontId="1" fillId="40" borderId="4" xfId="0" applyFont="1" applyFill="1" applyBorder="1" applyAlignment="1">
      <alignment horizontal="center"/>
    </xf>
    <xf numFmtId="0" fontId="1" fillId="40" borderId="7" xfId="0" applyFont="1" applyFill="1" applyBorder="1" applyAlignment="1">
      <alignment horizontal="center"/>
    </xf>
    <xf numFmtId="0" fontId="0" fillId="0" borderId="0" xfId="0" applyBorder="1"/>
    <xf numFmtId="165" fontId="1" fillId="0" borderId="0" xfId="0" applyNumberFormat="1" applyFont="1" applyFill="1" applyBorder="1"/>
    <xf numFmtId="0" fontId="0" fillId="0" borderId="2" xfId="0" applyBorder="1" applyAlignment="1">
      <alignment horizontal="center"/>
    </xf>
    <xf numFmtId="164" fontId="0" fillId="0" borderId="0" xfId="0" applyNumberFormat="1" applyBorder="1"/>
    <xf numFmtId="0" fontId="0" fillId="0" borderId="2" xfId="0" applyFont="1" applyBorder="1"/>
    <xf numFmtId="0" fontId="0" fillId="0" borderId="4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 applyBorder="1"/>
    <xf numFmtId="0" fontId="0" fillId="0" borderId="2" xfId="0" applyFont="1" applyBorder="1" applyAlignment="1">
      <alignment horizontal="center"/>
    </xf>
    <xf numFmtId="0" fontId="1" fillId="47" borderId="2" xfId="0" applyFont="1" applyFill="1" applyBorder="1" applyAlignment="1">
      <alignment horizontal="center"/>
    </xf>
    <xf numFmtId="0" fontId="1" fillId="47" borderId="4" xfId="0" applyFont="1" applyFill="1" applyBorder="1" applyAlignment="1">
      <alignment horizontal="center"/>
    </xf>
    <xf numFmtId="0" fontId="1" fillId="47" borderId="7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9AC1-8CE0-4B87-B563-FA845D00F1F6}">
  <dimension ref="B2:T90"/>
  <sheetViews>
    <sheetView tabSelected="1" zoomScaleNormal="150" zoomScaleSheetLayoutView="100" workbookViewId="0">
      <selection activeCell="C7" sqref="C7"/>
    </sheetView>
  </sheetViews>
  <sheetFormatPr defaultRowHeight="15" x14ac:dyDescent="0.2"/>
  <cols>
    <col min="1" max="1" width="6.1875" customWidth="1"/>
    <col min="2" max="2" width="26.5" style="50" customWidth="1"/>
    <col min="3" max="3" width="16.27734375" bestFit="1" customWidth="1"/>
    <col min="4" max="4" width="14.66015625" customWidth="1"/>
    <col min="5" max="6" width="10.35546875" customWidth="1"/>
    <col min="7" max="7" width="14.796875" bestFit="1" customWidth="1"/>
    <col min="8" max="8" width="16.27734375" bestFit="1" customWidth="1"/>
    <col min="10" max="11" width="18.4296875" customWidth="1"/>
    <col min="12" max="12" width="10.625" bestFit="1" customWidth="1"/>
    <col min="13" max="13" width="14.390625" customWidth="1"/>
    <col min="14" max="14" width="13.71875" bestFit="1" customWidth="1"/>
    <col min="16" max="17" width="16.54296875" bestFit="1" customWidth="1"/>
    <col min="18" max="18" width="10.625" bestFit="1" customWidth="1"/>
    <col min="19" max="19" width="13.71875" bestFit="1" customWidth="1"/>
    <col min="20" max="20" width="14.2578125" bestFit="1" customWidth="1"/>
  </cols>
  <sheetData>
    <row r="2" spans="2:20" x14ac:dyDescent="0.2">
      <c r="J2" s="54" t="s">
        <v>720</v>
      </c>
      <c r="K2" s="54"/>
      <c r="L2" s="54"/>
      <c r="M2" s="54"/>
      <c r="N2" s="54"/>
      <c r="O2" s="27"/>
      <c r="P2" s="54" t="s">
        <v>721</v>
      </c>
      <c r="Q2" s="54"/>
      <c r="R2" s="54"/>
      <c r="S2" s="54"/>
      <c r="T2" s="54"/>
    </row>
    <row r="3" spans="2:20" s="27" customFormat="1" x14ac:dyDescent="0.2">
      <c r="B3" s="50"/>
      <c r="G3" s="51">
        <v>0.15</v>
      </c>
      <c r="J3" s="27" t="s">
        <v>713</v>
      </c>
      <c r="K3" s="27" t="s">
        <v>716</v>
      </c>
      <c r="P3" s="27" t="s">
        <v>713</v>
      </c>
      <c r="Q3" s="27" t="s">
        <v>716</v>
      </c>
    </row>
    <row r="4" spans="2:20" s="27" customFormat="1" x14ac:dyDescent="0.2">
      <c r="B4" s="50"/>
      <c r="C4" s="27" t="s">
        <v>706</v>
      </c>
      <c r="D4" s="27" t="s">
        <v>708</v>
      </c>
      <c r="E4" s="27" t="s">
        <v>415</v>
      </c>
      <c r="F4" s="27" t="s">
        <v>710</v>
      </c>
      <c r="G4" s="27" t="s">
        <v>719</v>
      </c>
      <c r="H4" s="27" t="s">
        <v>711</v>
      </c>
      <c r="J4" s="27" t="s">
        <v>712</v>
      </c>
      <c r="K4" s="27" t="s">
        <v>712</v>
      </c>
      <c r="L4" s="27" t="s">
        <v>718</v>
      </c>
      <c r="M4" s="27" t="s">
        <v>714</v>
      </c>
      <c r="N4" s="27" t="s">
        <v>715</v>
      </c>
      <c r="P4" s="27" t="s">
        <v>712</v>
      </c>
      <c r="Q4" s="27" t="s">
        <v>712</v>
      </c>
      <c r="R4" s="27" t="s">
        <v>718</v>
      </c>
      <c r="S4" s="27" t="s">
        <v>714</v>
      </c>
      <c r="T4" s="27" t="s">
        <v>715</v>
      </c>
    </row>
    <row r="6" spans="2:20" x14ac:dyDescent="0.2">
      <c r="B6" s="27" t="s">
        <v>717</v>
      </c>
    </row>
    <row r="7" spans="2:20" x14ac:dyDescent="0.2">
      <c r="B7" s="50" t="s">
        <v>730</v>
      </c>
    </row>
    <row r="8" spans="2:20" x14ac:dyDescent="0.2">
      <c r="B8" s="50" t="s">
        <v>5</v>
      </c>
    </row>
    <row r="9" spans="2:20" x14ac:dyDescent="0.2">
      <c r="B9" s="50" t="s">
        <v>6</v>
      </c>
    </row>
    <row r="10" spans="2:20" x14ac:dyDescent="0.2">
      <c r="B10" s="50" t="s">
        <v>7</v>
      </c>
    </row>
    <row r="11" spans="2:20" x14ac:dyDescent="0.2">
      <c r="B11" s="50" t="s">
        <v>8</v>
      </c>
    </row>
    <row r="12" spans="2:20" x14ac:dyDescent="0.2">
      <c r="B12" s="50" t="s">
        <v>9</v>
      </c>
    </row>
    <row r="13" spans="2:20" x14ac:dyDescent="0.2">
      <c r="B13" s="50" t="s">
        <v>731</v>
      </c>
      <c r="C13">
        <v>1</v>
      </c>
      <c r="D13">
        <v>5</v>
      </c>
      <c r="E13">
        <v>2</v>
      </c>
      <c r="F13">
        <f>E13+D13</f>
        <v>7</v>
      </c>
      <c r="G13">
        <f>F13*$G$3</f>
        <v>1.05</v>
      </c>
      <c r="H13">
        <f>F13+G13</f>
        <v>8.0500000000000007</v>
      </c>
      <c r="J13">
        <v>35</v>
      </c>
      <c r="K13">
        <f>J13/1.25</f>
        <v>28</v>
      </c>
      <c r="L13" s="52">
        <f>H13/K13</f>
        <v>0.28750000000000003</v>
      </c>
      <c r="M13" s="52">
        <f>(1-L13)</f>
        <v>0.71249999999999991</v>
      </c>
      <c r="N13">
        <f>K13-H13</f>
        <v>19.95</v>
      </c>
      <c r="P13">
        <v>35</v>
      </c>
      <c r="Q13">
        <f>P13/1.15</f>
        <v>30.434782608695656</v>
      </c>
      <c r="R13" s="52">
        <f>H13/Q13</f>
        <v>0.26450000000000001</v>
      </c>
      <c r="S13" s="52">
        <f>(1-R13)</f>
        <v>0.73550000000000004</v>
      </c>
      <c r="T13">
        <f>Q13-H13</f>
        <v>22.384782608695655</v>
      </c>
    </row>
    <row r="15" spans="2:20" x14ac:dyDescent="0.2">
      <c r="B15" s="27" t="s">
        <v>732</v>
      </c>
    </row>
    <row r="16" spans="2:20" x14ac:dyDescent="0.2">
      <c r="B16" s="50" t="s">
        <v>252</v>
      </c>
    </row>
    <row r="17" spans="2:2" x14ac:dyDescent="0.2">
      <c r="B17" s="50" t="s">
        <v>256</v>
      </c>
    </row>
    <row r="18" spans="2:2" x14ac:dyDescent="0.2">
      <c r="B18" s="50" t="s">
        <v>258</v>
      </c>
    </row>
    <row r="19" spans="2:2" x14ac:dyDescent="0.2">
      <c r="B19" s="50" t="s">
        <v>260</v>
      </c>
    </row>
    <row r="20" spans="2:2" x14ac:dyDescent="0.2">
      <c r="B20" s="50" t="s">
        <v>262</v>
      </c>
    </row>
    <row r="21" spans="2:2" x14ac:dyDescent="0.2">
      <c r="B21" s="50" t="s">
        <v>264</v>
      </c>
    </row>
    <row r="22" spans="2:2" x14ac:dyDescent="0.2">
      <c r="B22" s="50" t="s">
        <v>266</v>
      </c>
    </row>
    <row r="23" spans="2:2" x14ac:dyDescent="0.2">
      <c r="B23" s="50" t="s">
        <v>268</v>
      </c>
    </row>
    <row r="24" spans="2:2" x14ac:dyDescent="0.2">
      <c r="B24" s="50" t="s">
        <v>205</v>
      </c>
    </row>
    <row r="25" spans="2:2" x14ac:dyDescent="0.2">
      <c r="B25" s="50" t="s">
        <v>733</v>
      </c>
    </row>
    <row r="26" spans="2:2" x14ac:dyDescent="0.2">
      <c r="B26" s="50" t="s">
        <v>734</v>
      </c>
    </row>
    <row r="27" spans="2:2" x14ac:dyDescent="0.2">
      <c r="B27" s="50" t="s">
        <v>211</v>
      </c>
    </row>
    <row r="28" spans="2:2" x14ac:dyDescent="0.2">
      <c r="B28" s="50" t="s">
        <v>213</v>
      </c>
    </row>
    <row r="29" spans="2:2" x14ac:dyDescent="0.2">
      <c r="B29" s="50" t="s">
        <v>735</v>
      </c>
    </row>
    <row r="30" spans="2:2" x14ac:dyDescent="0.2">
      <c r="B30" s="50" t="s">
        <v>736</v>
      </c>
    </row>
    <row r="32" spans="2:2" x14ac:dyDescent="0.2">
      <c r="B32" s="27" t="s">
        <v>738</v>
      </c>
    </row>
    <row r="33" spans="2:2" x14ac:dyDescent="0.2">
      <c r="B33" s="50" t="s">
        <v>280</v>
      </c>
    </row>
    <row r="34" spans="2:2" x14ac:dyDescent="0.2">
      <c r="B34" s="50" t="s">
        <v>281</v>
      </c>
    </row>
    <row r="35" spans="2:2" x14ac:dyDescent="0.2">
      <c r="B35" s="50" t="s">
        <v>282</v>
      </c>
    </row>
    <row r="36" spans="2:2" x14ac:dyDescent="0.2">
      <c r="B36" s="50" t="s">
        <v>283</v>
      </c>
    </row>
    <row r="37" spans="2:2" x14ac:dyDescent="0.2">
      <c r="B37" s="50" t="s">
        <v>284</v>
      </c>
    </row>
    <row r="38" spans="2:2" x14ac:dyDescent="0.2">
      <c r="B38" s="50" t="s">
        <v>737</v>
      </c>
    </row>
    <row r="40" spans="2:2" x14ac:dyDescent="0.2">
      <c r="B40" s="27" t="s">
        <v>739</v>
      </c>
    </row>
    <row r="41" spans="2:2" x14ac:dyDescent="0.2">
      <c r="B41" s="50" t="s">
        <v>740</v>
      </c>
    </row>
    <row r="42" spans="2:2" x14ac:dyDescent="0.2">
      <c r="B42" s="50" t="s">
        <v>741</v>
      </c>
    </row>
    <row r="43" spans="2:2" x14ac:dyDescent="0.2">
      <c r="B43" s="50" t="s">
        <v>742</v>
      </c>
    </row>
    <row r="44" spans="2:2" x14ac:dyDescent="0.2">
      <c r="B44" s="50" t="s">
        <v>331</v>
      </c>
    </row>
    <row r="45" spans="2:2" x14ac:dyDescent="0.2">
      <c r="B45" s="50" t="s">
        <v>341</v>
      </c>
    </row>
    <row r="46" spans="2:2" x14ac:dyDescent="0.2">
      <c r="B46" s="50" t="s">
        <v>345</v>
      </c>
    </row>
    <row r="47" spans="2:2" x14ac:dyDescent="0.2">
      <c r="B47" s="50" t="s">
        <v>332</v>
      </c>
    </row>
    <row r="48" spans="2:2" x14ac:dyDescent="0.2">
      <c r="B48" s="50" t="s">
        <v>281</v>
      </c>
    </row>
    <row r="49" spans="2:2" x14ac:dyDescent="0.2">
      <c r="B49" s="50" t="s">
        <v>282</v>
      </c>
    </row>
    <row r="51" spans="2:2" x14ac:dyDescent="0.2">
      <c r="B51" s="27" t="s">
        <v>743</v>
      </c>
    </row>
    <row r="52" spans="2:2" x14ac:dyDescent="0.2">
      <c r="B52" s="50" t="s">
        <v>374</v>
      </c>
    </row>
    <row r="53" spans="2:2" x14ac:dyDescent="0.2">
      <c r="B53" s="50" t="s">
        <v>744</v>
      </c>
    </row>
    <row r="54" spans="2:2" x14ac:dyDescent="0.2">
      <c r="B54" s="50" t="s">
        <v>745</v>
      </c>
    </row>
    <row r="55" spans="2:2" x14ac:dyDescent="0.2">
      <c r="B55" s="50" t="s">
        <v>746</v>
      </c>
    </row>
    <row r="56" spans="2:2" x14ac:dyDescent="0.2">
      <c r="B56" s="50" t="s">
        <v>376</v>
      </c>
    </row>
    <row r="57" spans="2:2" x14ac:dyDescent="0.2">
      <c r="B57" s="50" t="s">
        <v>377</v>
      </c>
    </row>
    <row r="58" spans="2:2" x14ac:dyDescent="0.2">
      <c r="B58" s="50" t="s">
        <v>513</v>
      </c>
    </row>
    <row r="59" spans="2:2" x14ac:dyDescent="0.2">
      <c r="B59" s="50" t="s">
        <v>518</v>
      </c>
    </row>
    <row r="60" spans="2:2" x14ac:dyDescent="0.2">
      <c r="B60" s="50" t="s">
        <v>747</v>
      </c>
    </row>
    <row r="62" spans="2:2" x14ac:dyDescent="0.2">
      <c r="B62" s="27" t="s">
        <v>748</v>
      </c>
    </row>
    <row r="63" spans="2:2" x14ac:dyDescent="0.2">
      <c r="B63" s="50" t="s">
        <v>420</v>
      </c>
    </row>
    <row r="64" spans="2:2" x14ac:dyDescent="0.2">
      <c r="B64" s="50" t="s">
        <v>749</v>
      </c>
    </row>
    <row r="65" spans="2:2" x14ac:dyDescent="0.2">
      <c r="B65" s="50" t="s">
        <v>475</v>
      </c>
    </row>
    <row r="66" spans="2:2" x14ac:dyDescent="0.2">
      <c r="B66" s="50" t="s">
        <v>478</v>
      </c>
    </row>
    <row r="67" spans="2:2" x14ac:dyDescent="0.2">
      <c r="B67" s="50" t="s">
        <v>750</v>
      </c>
    </row>
    <row r="68" spans="2:2" x14ac:dyDescent="0.2">
      <c r="B68" s="50" t="s">
        <v>493</v>
      </c>
    </row>
    <row r="70" spans="2:2" x14ac:dyDescent="0.2">
      <c r="B70" s="27" t="s">
        <v>751</v>
      </c>
    </row>
    <row r="71" spans="2:2" x14ac:dyDescent="0.2">
      <c r="B71" s="50" t="s">
        <v>694</v>
      </c>
    </row>
    <row r="72" spans="2:2" x14ac:dyDescent="0.2">
      <c r="B72" s="50" t="s">
        <v>752</v>
      </c>
    </row>
    <row r="73" spans="2:2" x14ac:dyDescent="0.2">
      <c r="B73" s="50" t="s">
        <v>753</v>
      </c>
    </row>
    <row r="74" spans="2:2" x14ac:dyDescent="0.2">
      <c r="B74" s="50" t="s">
        <v>754</v>
      </c>
    </row>
    <row r="75" spans="2:2" x14ac:dyDescent="0.2">
      <c r="B75" s="50" t="s">
        <v>755</v>
      </c>
    </row>
    <row r="76" spans="2:2" x14ac:dyDescent="0.2">
      <c r="B76" s="50" t="s">
        <v>722</v>
      </c>
    </row>
    <row r="77" spans="2:2" x14ac:dyDescent="0.2">
      <c r="B77" s="50" t="s">
        <v>756</v>
      </c>
    </row>
    <row r="78" spans="2:2" x14ac:dyDescent="0.2">
      <c r="B78" s="50" t="s">
        <v>757</v>
      </c>
    </row>
    <row r="80" spans="2:2" x14ac:dyDescent="0.2">
      <c r="B80" s="27" t="s">
        <v>758</v>
      </c>
    </row>
    <row r="81" spans="2:2" x14ac:dyDescent="0.2">
      <c r="B81" s="50" t="s">
        <v>759</v>
      </c>
    </row>
    <row r="82" spans="2:2" x14ac:dyDescent="0.2">
      <c r="B82" s="50" t="s">
        <v>760</v>
      </c>
    </row>
    <row r="83" spans="2:2" x14ac:dyDescent="0.2">
      <c r="B83" s="50" t="s">
        <v>761</v>
      </c>
    </row>
    <row r="84" spans="2:2" x14ac:dyDescent="0.2">
      <c r="B84" s="50" t="s">
        <v>762</v>
      </c>
    </row>
    <row r="85" spans="2:2" x14ac:dyDescent="0.2">
      <c r="B85" s="50" t="s">
        <v>763</v>
      </c>
    </row>
    <row r="86" spans="2:2" x14ac:dyDescent="0.2">
      <c r="B86" s="50" t="s">
        <v>764</v>
      </c>
    </row>
    <row r="87" spans="2:2" x14ac:dyDescent="0.2">
      <c r="B87" s="50" t="s">
        <v>765</v>
      </c>
    </row>
    <row r="88" spans="2:2" x14ac:dyDescent="0.2">
      <c r="B88" s="50" t="s">
        <v>766</v>
      </c>
    </row>
    <row r="89" spans="2:2" x14ac:dyDescent="0.2">
      <c r="B89" s="50" t="s">
        <v>767</v>
      </c>
    </row>
    <row r="90" spans="2:2" x14ac:dyDescent="0.2">
      <c r="B90" s="50" t="s">
        <v>768</v>
      </c>
    </row>
  </sheetData>
  <mergeCells count="2">
    <mergeCell ref="J2:N2"/>
    <mergeCell ref="P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D5CD-6129-1447-AB02-B96FC870987B}">
  <dimension ref="A1:AZ112"/>
  <sheetViews>
    <sheetView topLeftCell="R65" zoomScaleNormal="150" zoomScaleSheetLayoutView="100" workbookViewId="0">
      <selection activeCell="AJ77" sqref="AJ77"/>
    </sheetView>
  </sheetViews>
  <sheetFormatPr defaultRowHeight="15" x14ac:dyDescent="0.2"/>
  <cols>
    <col min="1" max="1" width="33.359375" customWidth="1"/>
    <col min="2" max="2" width="13.046875" customWidth="1"/>
    <col min="3" max="3" width="4.5703125" customWidth="1"/>
    <col min="4" max="4" width="6.72265625" customWidth="1"/>
    <col min="6" max="6" width="21.1171875" customWidth="1"/>
    <col min="7" max="7" width="12.23828125" bestFit="1" customWidth="1"/>
    <col min="8" max="8" width="4.16796875" customWidth="1"/>
    <col min="10" max="10" width="10.0859375" style="19" bestFit="1" customWidth="1"/>
    <col min="12" max="12" width="22.8671875" customWidth="1"/>
    <col min="13" max="13" width="9.81640625" bestFit="1" customWidth="1"/>
    <col min="14" max="14" width="5.109375" customWidth="1"/>
    <col min="16" max="16" width="8.7421875" bestFit="1" customWidth="1"/>
    <col min="18" max="18" width="21.1171875" customWidth="1"/>
    <col min="19" max="19" width="9.81640625" bestFit="1" customWidth="1"/>
    <col min="20" max="20" width="4.83984375" customWidth="1"/>
    <col min="24" max="24" width="23.67578125" customWidth="1"/>
    <col min="26" max="26" width="3.62890625" customWidth="1"/>
    <col min="30" max="30" width="27.0390625" customWidth="1"/>
    <col min="31" max="31" width="11.97265625" bestFit="1" customWidth="1"/>
    <col min="32" max="32" width="4.83984375" customWidth="1"/>
    <col min="36" max="36" width="25.9609375" customWidth="1"/>
    <col min="37" max="37" width="9.81640625" bestFit="1" customWidth="1"/>
    <col min="38" max="38" width="4.4375" customWidth="1"/>
    <col min="42" max="42" width="26.09765625" customWidth="1"/>
    <col min="43" max="43" width="12.23828125" bestFit="1" customWidth="1"/>
    <col min="44" max="44" width="4.16796875" customWidth="1"/>
    <col min="48" max="48" width="21.25390625" customWidth="1"/>
  </cols>
  <sheetData>
    <row r="1" spans="1:52" ht="27.75" x14ac:dyDescent="0.2">
      <c r="A1" s="9" t="s">
        <v>0</v>
      </c>
      <c r="B1" s="10" t="s">
        <v>1</v>
      </c>
      <c r="C1" s="11" t="s">
        <v>2</v>
      </c>
      <c r="D1" s="12" t="s">
        <v>3</v>
      </c>
      <c r="F1" s="95" t="s">
        <v>4</v>
      </c>
      <c r="G1" s="96"/>
      <c r="H1" s="96"/>
      <c r="I1" s="96"/>
      <c r="J1" s="97"/>
      <c r="L1" s="88" t="s">
        <v>5</v>
      </c>
      <c r="M1" s="88"/>
      <c r="N1" s="88"/>
      <c r="O1" s="88"/>
      <c r="P1" s="88"/>
      <c r="R1" s="87" t="s">
        <v>6</v>
      </c>
      <c r="S1" s="87"/>
      <c r="T1" s="87"/>
      <c r="U1" s="87"/>
      <c r="V1" s="87"/>
      <c r="X1" s="86" t="s">
        <v>7</v>
      </c>
      <c r="Y1" s="86"/>
      <c r="Z1" s="86"/>
      <c r="AA1" s="86"/>
      <c r="AB1" s="86"/>
      <c r="AD1" s="78" t="s">
        <v>8</v>
      </c>
      <c r="AE1" s="78"/>
      <c r="AF1" s="78"/>
      <c r="AG1" s="78"/>
      <c r="AH1" s="78"/>
      <c r="AJ1" s="73" t="s">
        <v>9</v>
      </c>
      <c r="AK1" s="73"/>
      <c r="AL1" s="73"/>
      <c r="AM1" s="73"/>
      <c r="AN1" s="73"/>
      <c r="AP1" s="71" t="s">
        <v>10</v>
      </c>
      <c r="AQ1" s="71"/>
      <c r="AR1" s="71"/>
      <c r="AS1" s="71"/>
      <c r="AT1" s="71"/>
      <c r="AV1" s="26"/>
      <c r="AW1" s="26"/>
      <c r="AX1" s="26"/>
      <c r="AY1" s="26"/>
      <c r="AZ1" s="26"/>
    </row>
    <row r="2" spans="1:52" x14ac:dyDescent="0.2">
      <c r="A2" s="1" t="s">
        <v>11</v>
      </c>
      <c r="B2" s="3">
        <v>69.03</v>
      </c>
      <c r="C2" s="5" t="s">
        <v>12</v>
      </c>
      <c r="D2" s="6">
        <f>B2/1000</f>
        <v>6.9030000000000008E-2</v>
      </c>
      <c r="F2" s="22"/>
      <c r="G2" s="23"/>
      <c r="H2" s="23"/>
      <c r="I2" s="23"/>
      <c r="J2" s="24"/>
    </row>
    <row r="3" spans="1:52" x14ac:dyDescent="0.2">
      <c r="A3" s="1" t="s">
        <v>13</v>
      </c>
      <c r="B3" s="3">
        <v>129.1</v>
      </c>
      <c r="C3" s="5" t="s">
        <v>12</v>
      </c>
      <c r="D3" s="6">
        <f t="shared" ref="D3:D63" si="0">B3/1000</f>
        <v>0.12909999999999999</v>
      </c>
      <c r="F3" s="92" t="s">
        <v>14</v>
      </c>
      <c r="G3" s="93"/>
      <c r="H3" s="93"/>
      <c r="I3" s="93"/>
      <c r="J3" s="94"/>
      <c r="L3" s="89" t="s">
        <v>15</v>
      </c>
      <c r="M3" s="90"/>
      <c r="N3" s="90"/>
      <c r="O3" s="90"/>
      <c r="P3" s="91"/>
      <c r="R3" s="82" t="s">
        <v>16</v>
      </c>
      <c r="S3" s="83"/>
      <c r="T3" s="83"/>
      <c r="U3" s="83"/>
      <c r="V3" s="84"/>
      <c r="X3" s="75" t="s">
        <v>17</v>
      </c>
      <c r="Y3" s="76"/>
      <c r="Z3" s="76"/>
      <c r="AA3" s="76"/>
      <c r="AB3" s="77"/>
      <c r="AD3" s="79" t="s">
        <v>18</v>
      </c>
      <c r="AE3" s="80"/>
      <c r="AF3" s="80"/>
      <c r="AG3" s="80"/>
      <c r="AH3" s="81"/>
      <c r="AJ3" s="74" t="s">
        <v>19</v>
      </c>
      <c r="AK3" s="74"/>
      <c r="AL3" s="74"/>
      <c r="AM3" s="74"/>
      <c r="AN3" s="74"/>
      <c r="AP3" s="72" t="s">
        <v>20</v>
      </c>
      <c r="AQ3" s="72"/>
      <c r="AR3" s="72"/>
      <c r="AS3" s="72"/>
      <c r="AT3" s="72"/>
      <c r="AV3" s="27"/>
      <c r="AW3" s="27"/>
      <c r="AX3" s="27"/>
      <c r="AY3" s="27"/>
      <c r="AZ3" s="27"/>
    </row>
    <row r="4" spans="1:52" x14ac:dyDescent="0.2">
      <c r="A4" s="1" t="s">
        <v>21</v>
      </c>
      <c r="B4" s="3">
        <v>11.59</v>
      </c>
      <c r="C4" s="5" t="s">
        <v>12</v>
      </c>
      <c r="D4" s="6">
        <f t="shared" si="0"/>
        <v>1.159E-2</v>
      </c>
      <c r="F4" s="1" t="s">
        <v>21</v>
      </c>
      <c r="G4" s="1">
        <v>2400</v>
      </c>
      <c r="H4" s="1" t="s">
        <v>22</v>
      </c>
      <c r="I4" s="1">
        <f>_xlfn.XLOOKUP(F4,$A$2:$A$103,$D$2:$D$103)</f>
        <v>1.159E-2</v>
      </c>
      <c r="J4" s="17">
        <f>G4*I4</f>
        <v>27.815999999999999</v>
      </c>
      <c r="L4" s="1" t="s">
        <v>23</v>
      </c>
      <c r="M4" s="1">
        <v>1200</v>
      </c>
      <c r="N4" s="1" t="s">
        <v>22</v>
      </c>
      <c r="O4" s="1">
        <f>_xlfn.XLOOKUP(L4,A2:A105,D2:D105)</f>
        <v>0</v>
      </c>
      <c r="P4" s="17">
        <f>M4*O4</f>
        <v>0</v>
      </c>
      <c r="R4" s="1" t="s">
        <v>24</v>
      </c>
      <c r="S4" s="1">
        <v>378</v>
      </c>
      <c r="T4" s="1" t="s">
        <v>22</v>
      </c>
      <c r="U4" s="1">
        <f>_xlfn.XLOOKUP(R4,A2:A106,D2:D106)</f>
        <v>7.6060000000000003E-2</v>
      </c>
      <c r="V4" s="17">
        <f>S4*U4</f>
        <v>28.750680000000003</v>
      </c>
      <c r="X4" s="1" t="s">
        <v>24</v>
      </c>
      <c r="Y4" s="1">
        <v>1071</v>
      </c>
      <c r="Z4" s="1" t="s">
        <v>22</v>
      </c>
      <c r="AA4" s="1">
        <f>_xlfn.XLOOKUP(X4,A2:A107,D1:D106)</f>
        <v>5.6149999999999999E-2</v>
      </c>
      <c r="AB4" s="17">
        <f>Y4*AA4</f>
        <v>60.136649999999996</v>
      </c>
      <c r="AD4" s="1" t="s">
        <v>24</v>
      </c>
      <c r="AE4" s="1">
        <v>4160</v>
      </c>
      <c r="AF4" s="1" t="s">
        <v>22</v>
      </c>
      <c r="AG4" s="1">
        <f>_xlfn.XLOOKUP(AD4,A2:A110,D2:D110)</f>
        <v>7.6060000000000003E-2</v>
      </c>
      <c r="AH4" s="17">
        <f>AE4*AG4</f>
        <v>316.40960000000001</v>
      </c>
      <c r="AJ4" s="1" t="s">
        <v>25</v>
      </c>
      <c r="AK4" s="1">
        <v>2250</v>
      </c>
      <c r="AL4" s="1" t="s">
        <v>22</v>
      </c>
      <c r="AM4" s="1">
        <f>_xlfn.XLOOKUP(AJ4,A2:A103,D2:D103)</f>
        <v>1.8839999999999999E-2</v>
      </c>
      <c r="AN4" s="17">
        <f>AM4*AK4</f>
        <v>42.39</v>
      </c>
      <c r="AP4" s="1" t="s">
        <v>21</v>
      </c>
      <c r="AQ4" s="1">
        <v>13400</v>
      </c>
      <c r="AR4" s="1" t="s">
        <v>22</v>
      </c>
      <c r="AS4" s="1">
        <f>_xlfn.XLOOKUP(AP4,A2:A103,D2:D103)</f>
        <v>1.159E-2</v>
      </c>
      <c r="AT4" s="17">
        <f>AS4*AQ4</f>
        <v>155.30599999999998</v>
      </c>
    </row>
    <row r="5" spans="1:52" x14ac:dyDescent="0.2">
      <c r="A5" s="1" t="s">
        <v>26</v>
      </c>
      <c r="B5" s="3">
        <v>13.15</v>
      </c>
      <c r="C5" s="5" t="s">
        <v>12</v>
      </c>
      <c r="D5" s="6">
        <f t="shared" si="0"/>
        <v>1.315E-2</v>
      </c>
      <c r="F5" s="1" t="s">
        <v>27</v>
      </c>
      <c r="G5" s="1">
        <v>750</v>
      </c>
      <c r="H5" s="1" t="s">
        <v>22</v>
      </c>
      <c r="I5" s="1">
        <f t="shared" ref="I5:I8" si="1">_xlfn.XLOOKUP(F5,$A$2:$A$103,$D$2:$D$103)</f>
        <v>1.6750000000000001E-2</v>
      </c>
      <c r="J5" s="17">
        <f t="shared" ref="J5:J8" si="2">G5*I5</f>
        <v>12.5625</v>
      </c>
      <c r="L5" s="1" t="s">
        <v>25</v>
      </c>
      <c r="M5" s="1">
        <v>1200</v>
      </c>
      <c r="N5" s="1" t="s">
        <v>22</v>
      </c>
      <c r="O5" s="1">
        <f t="shared" ref="O5:O10" si="3">_xlfn.XLOOKUP(L5,A3:A106,D3:D106)</f>
        <v>1.8839999999999999E-2</v>
      </c>
      <c r="P5" s="17">
        <f t="shared" ref="P5:P10" si="4">M5*O5</f>
        <v>22.608000000000001</v>
      </c>
      <c r="R5" s="1" t="s">
        <v>26</v>
      </c>
      <c r="S5" s="1">
        <v>360</v>
      </c>
      <c r="T5" s="1" t="s">
        <v>22</v>
      </c>
      <c r="U5" s="1">
        <f t="shared" ref="U5:U10" si="5">_xlfn.XLOOKUP(R5,A3:A107,D3:D107)</f>
        <v>1.315E-2</v>
      </c>
      <c r="V5" s="17">
        <f t="shared" ref="V5:V10" si="6">S5*U5</f>
        <v>4.734</v>
      </c>
      <c r="X5" s="1" t="s">
        <v>28</v>
      </c>
      <c r="Y5" s="1">
        <v>187</v>
      </c>
      <c r="Z5" s="1" t="s">
        <v>22</v>
      </c>
      <c r="AA5" s="1">
        <f t="shared" ref="AA5:AA9" si="7">_xlfn.XLOOKUP(X5,A3:A108,D2:D107)</f>
        <v>0.1237</v>
      </c>
      <c r="AB5" s="17">
        <f t="shared" ref="AB5:AB9" si="8">Y5*AA5</f>
        <v>23.131900000000002</v>
      </c>
      <c r="AD5" s="1" t="s">
        <v>28</v>
      </c>
      <c r="AE5" s="1">
        <v>2600</v>
      </c>
      <c r="AF5" s="1" t="s">
        <v>22</v>
      </c>
      <c r="AG5" s="1">
        <f t="shared" ref="AG5:AG13" si="9">_xlfn.XLOOKUP(AD5,A3:A111,D3:D111)</f>
        <v>7.0999999999999994E-2</v>
      </c>
      <c r="AH5" s="17">
        <f t="shared" ref="AH5:AH13" si="10">AE5*AG5</f>
        <v>184.6</v>
      </c>
      <c r="AJ5" s="1" t="s">
        <v>29</v>
      </c>
      <c r="AK5" s="1">
        <v>225</v>
      </c>
      <c r="AL5" s="1" t="s">
        <v>22</v>
      </c>
      <c r="AM5" s="1">
        <f t="shared" ref="AM5:AM8" si="11">_xlfn.XLOOKUP(AJ5,A3:A104,D3:D104)</f>
        <v>8.1000000000000003E-2</v>
      </c>
      <c r="AN5" s="17">
        <f t="shared" ref="AN5:AN8" si="12">AM5*AK5</f>
        <v>18.225000000000001</v>
      </c>
      <c r="AP5" s="1" t="s">
        <v>30</v>
      </c>
      <c r="AQ5" s="1">
        <v>290</v>
      </c>
      <c r="AR5" s="1" t="s">
        <v>22</v>
      </c>
      <c r="AS5" s="1">
        <f t="shared" ref="AS5:AS8" si="13">_xlfn.XLOOKUP(AP5,A3:A104,D3:D104)</f>
        <v>5.2500000000000003E-3</v>
      </c>
      <c r="AT5" s="17">
        <f t="shared" ref="AT5:AT8" si="14">AS5*AQ5</f>
        <v>1.5225000000000002</v>
      </c>
    </row>
    <row r="6" spans="1:52" x14ac:dyDescent="0.2">
      <c r="A6" s="1" t="s">
        <v>31</v>
      </c>
      <c r="B6" s="3">
        <v>24.55</v>
      </c>
      <c r="C6" s="5" t="s">
        <v>12</v>
      </c>
      <c r="D6" s="6">
        <f t="shared" si="0"/>
        <v>2.4550000000000002E-2</v>
      </c>
      <c r="F6" s="1" t="s">
        <v>24</v>
      </c>
      <c r="G6" s="1">
        <v>1300</v>
      </c>
      <c r="H6" s="1" t="s">
        <v>22</v>
      </c>
      <c r="I6" s="1">
        <f t="shared" si="1"/>
        <v>7.6060000000000003E-2</v>
      </c>
      <c r="J6" s="17">
        <f t="shared" si="2"/>
        <v>98.878</v>
      </c>
      <c r="L6" s="1" t="s">
        <v>24</v>
      </c>
      <c r="M6" s="1">
        <v>960</v>
      </c>
      <c r="N6" s="1" t="s">
        <v>22</v>
      </c>
      <c r="O6" s="1">
        <f t="shared" si="3"/>
        <v>7.6060000000000003E-2</v>
      </c>
      <c r="P6" s="17">
        <f t="shared" si="4"/>
        <v>73.017600000000002</v>
      </c>
      <c r="R6" s="1" t="s">
        <v>30</v>
      </c>
      <c r="S6" s="1">
        <v>8</v>
      </c>
      <c r="T6" s="1" t="s">
        <v>22</v>
      </c>
      <c r="U6" s="1">
        <f t="shared" si="5"/>
        <v>5.2500000000000003E-3</v>
      </c>
      <c r="V6" s="17">
        <f t="shared" si="6"/>
        <v>4.2000000000000003E-2</v>
      </c>
      <c r="X6" s="1" t="s">
        <v>26</v>
      </c>
      <c r="Y6" s="1">
        <v>561</v>
      </c>
      <c r="Z6" s="1" t="s">
        <v>22</v>
      </c>
      <c r="AA6" s="1">
        <f t="shared" si="7"/>
        <v>1.159E-2</v>
      </c>
      <c r="AB6" s="17">
        <f t="shared" si="8"/>
        <v>6.5019900000000002</v>
      </c>
      <c r="AD6" s="1" t="s">
        <v>32</v>
      </c>
      <c r="AE6" s="1">
        <v>5</v>
      </c>
      <c r="AF6" s="1" t="s">
        <v>22</v>
      </c>
      <c r="AG6" s="1">
        <f t="shared" si="9"/>
        <v>0.61199999999999999</v>
      </c>
      <c r="AH6" s="17">
        <f t="shared" si="10"/>
        <v>3.06</v>
      </c>
      <c r="AJ6" s="1" t="s">
        <v>33</v>
      </c>
      <c r="AK6" s="1">
        <v>315</v>
      </c>
      <c r="AL6" s="1" t="s">
        <v>22</v>
      </c>
      <c r="AM6" s="1">
        <f t="shared" si="11"/>
        <v>0.13930000000000001</v>
      </c>
      <c r="AN6" s="17">
        <f t="shared" si="12"/>
        <v>43.8795</v>
      </c>
      <c r="AP6" s="1" t="s">
        <v>23</v>
      </c>
      <c r="AQ6" s="1">
        <v>7200</v>
      </c>
      <c r="AR6" s="1" t="s">
        <v>22</v>
      </c>
      <c r="AS6" s="1">
        <f t="shared" si="13"/>
        <v>0</v>
      </c>
      <c r="AT6" s="17">
        <f t="shared" si="14"/>
        <v>0</v>
      </c>
    </row>
    <row r="7" spans="1:52" x14ac:dyDescent="0.2">
      <c r="A7" s="1" t="s">
        <v>27</v>
      </c>
      <c r="B7" s="3">
        <v>16.75</v>
      </c>
      <c r="C7" s="5" t="s">
        <v>12</v>
      </c>
      <c r="D7" s="6">
        <f t="shared" si="0"/>
        <v>1.6750000000000001E-2</v>
      </c>
      <c r="F7" s="1" t="s">
        <v>34</v>
      </c>
      <c r="G7" s="1">
        <v>400</v>
      </c>
      <c r="H7" s="1" t="s">
        <v>22</v>
      </c>
      <c r="I7" s="1">
        <f t="shared" si="1"/>
        <v>0.188</v>
      </c>
      <c r="J7" s="17">
        <f t="shared" si="2"/>
        <v>75.2</v>
      </c>
      <c r="L7" s="1" t="s">
        <v>26</v>
      </c>
      <c r="M7" s="1">
        <v>48</v>
      </c>
      <c r="N7" s="1" t="s">
        <v>22</v>
      </c>
      <c r="O7" s="1">
        <f t="shared" si="3"/>
        <v>1.315E-2</v>
      </c>
      <c r="P7" s="17">
        <f t="shared" si="4"/>
        <v>0.63119999999999998</v>
      </c>
      <c r="R7" s="1" t="s">
        <v>35</v>
      </c>
      <c r="S7" s="1">
        <v>768</v>
      </c>
      <c r="T7" s="1" t="s">
        <v>22</v>
      </c>
      <c r="U7" s="1">
        <f t="shared" si="5"/>
        <v>4.9500000000000002E-2</v>
      </c>
      <c r="V7" s="17">
        <f t="shared" si="6"/>
        <v>38.016000000000005</v>
      </c>
      <c r="X7" s="1" t="s">
        <v>21</v>
      </c>
      <c r="Y7" s="1">
        <v>1360</v>
      </c>
      <c r="Z7" s="1" t="s">
        <v>22</v>
      </c>
      <c r="AA7" s="1">
        <f>_xlfn.XLOOKUP(X7,A2:A107,D2:D107)</f>
        <v>1.159E-2</v>
      </c>
      <c r="AB7" s="17">
        <f t="shared" si="8"/>
        <v>15.7624</v>
      </c>
      <c r="AD7" s="1" t="s">
        <v>26</v>
      </c>
      <c r="AE7" s="1">
        <v>3120</v>
      </c>
      <c r="AF7" s="1" t="s">
        <v>22</v>
      </c>
      <c r="AG7" s="1">
        <f t="shared" si="9"/>
        <v>1.315E-2</v>
      </c>
      <c r="AH7" s="17">
        <f t="shared" si="10"/>
        <v>41.027999999999999</v>
      </c>
      <c r="AJ7" s="2" t="s">
        <v>36</v>
      </c>
      <c r="AK7" s="1">
        <v>2745</v>
      </c>
      <c r="AL7" s="1" t="s">
        <v>22</v>
      </c>
      <c r="AM7" s="1">
        <f t="shared" si="11"/>
        <v>0.32900000000000001</v>
      </c>
      <c r="AN7" s="17">
        <f t="shared" si="12"/>
        <v>903.10500000000002</v>
      </c>
      <c r="AP7" s="2" t="s">
        <v>37</v>
      </c>
      <c r="AQ7" s="1">
        <v>260</v>
      </c>
      <c r="AR7" s="1" t="s">
        <v>22</v>
      </c>
      <c r="AS7" s="1">
        <f>_xlfn.XLOOKUP(AP7,A5:A126,D5:D126)</f>
        <v>2.0149999999999998E-2</v>
      </c>
      <c r="AT7" s="17">
        <f t="shared" si="14"/>
        <v>5.238999999999999</v>
      </c>
    </row>
    <row r="8" spans="1:52" x14ac:dyDescent="0.2">
      <c r="A8" s="1" t="s">
        <v>35</v>
      </c>
      <c r="B8" s="3">
        <v>49.5</v>
      </c>
      <c r="C8" s="5" t="s">
        <v>12</v>
      </c>
      <c r="D8" s="6">
        <f t="shared" si="0"/>
        <v>4.9500000000000002E-2</v>
      </c>
      <c r="F8" s="8" t="s">
        <v>30</v>
      </c>
      <c r="G8" s="8">
        <v>24</v>
      </c>
      <c r="H8" s="8" t="s">
        <v>22</v>
      </c>
      <c r="I8" s="1">
        <f t="shared" si="1"/>
        <v>5.2500000000000003E-3</v>
      </c>
      <c r="J8" s="18">
        <f t="shared" si="2"/>
        <v>0.126</v>
      </c>
      <c r="L8" s="8" t="s">
        <v>30</v>
      </c>
      <c r="M8" s="8">
        <v>38</v>
      </c>
      <c r="N8" s="8" t="s">
        <v>22</v>
      </c>
      <c r="O8" s="1">
        <f t="shared" si="3"/>
        <v>5.2500000000000003E-3</v>
      </c>
      <c r="P8" s="18">
        <f t="shared" si="4"/>
        <v>0.19950000000000001</v>
      </c>
      <c r="R8" s="8" t="s">
        <v>38</v>
      </c>
      <c r="S8" s="8">
        <v>90</v>
      </c>
      <c r="T8" s="8" t="s">
        <v>22</v>
      </c>
      <c r="U8" s="1">
        <f t="shared" si="5"/>
        <v>0.38500000000000001</v>
      </c>
      <c r="V8" s="18">
        <f t="shared" si="6"/>
        <v>34.65</v>
      </c>
      <c r="X8" s="8" t="s">
        <v>30</v>
      </c>
      <c r="Y8" s="8">
        <v>12</v>
      </c>
      <c r="Z8" s="8" t="s">
        <v>22</v>
      </c>
      <c r="AA8" s="1">
        <f t="shared" si="7"/>
        <v>2.461E-2</v>
      </c>
      <c r="AB8" s="18">
        <f t="shared" si="8"/>
        <v>0.29532000000000003</v>
      </c>
      <c r="AD8" s="8" t="s">
        <v>31</v>
      </c>
      <c r="AE8" s="8">
        <v>4160</v>
      </c>
      <c r="AF8" s="8" t="s">
        <v>22</v>
      </c>
      <c r="AG8" s="1">
        <f t="shared" si="9"/>
        <v>2.4550000000000002E-2</v>
      </c>
      <c r="AH8" s="18">
        <f t="shared" si="10"/>
        <v>102.12800000000001</v>
      </c>
      <c r="AJ8" s="1" t="s">
        <v>39</v>
      </c>
      <c r="AK8" s="1">
        <v>4500</v>
      </c>
      <c r="AL8" s="1" t="s">
        <v>22</v>
      </c>
      <c r="AM8" s="1">
        <f t="shared" si="11"/>
        <v>5.6149999999999999E-2</v>
      </c>
      <c r="AN8" s="17">
        <f t="shared" si="12"/>
        <v>252.67499999999998</v>
      </c>
      <c r="AP8" s="1" t="s">
        <v>24</v>
      </c>
      <c r="AQ8" s="1">
        <v>4000</v>
      </c>
      <c r="AR8" s="1" t="s">
        <v>22</v>
      </c>
      <c r="AS8" s="1">
        <f t="shared" si="13"/>
        <v>7.6060000000000003E-2</v>
      </c>
      <c r="AT8" s="17">
        <f t="shared" si="14"/>
        <v>304.24</v>
      </c>
    </row>
    <row r="9" spans="1:52" x14ac:dyDescent="0.2">
      <c r="A9" s="1" t="s">
        <v>40</v>
      </c>
      <c r="B9" s="3">
        <v>83.99</v>
      </c>
      <c r="C9" s="5" t="s">
        <v>12</v>
      </c>
      <c r="D9" s="6">
        <f t="shared" si="0"/>
        <v>8.3989999999999995E-2</v>
      </c>
      <c r="F9" s="1" t="s">
        <v>41</v>
      </c>
      <c r="G9" s="1">
        <f>SUM(G4:G8)</f>
        <v>4874</v>
      </c>
      <c r="H9" s="1" t="s">
        <v>22</v>
      </c>
      <c r="I9" s="1"/>
      <c r="J9" s="17">
        <f>SUM(J4:J8)</f>
        <v>214.58250000000001</v>
      </c>
      <c r="L9" s="1" t="s">
        <v>21</v>
      </c>
      <c r="M9" s="1">
        <v>1440</v>
      </c>
      <c r="N9" s="1" t="s">
        <v>22</v>
      </c>
      <c r="O9" s="1">
        <f>_xlfn.XLOOKUP(L9,A2:A110,D2:D110)</f>
        <v>1.159E-2</v>
      </c>
      <c r="P9" s="18">
        <f t="shared" si="4"/>
        <v>16.689599999999999</v>
      </c>
      <c r="R9" s="1" t="s">
        <v>28</v>
      </c>
      <c r="S9" s="1">
        <v>216</v>
      </c>
      <c r="T9" s="1" t="s">
        <v>22</v>
      </c>
      <c r="U9" s="1">
        <f>_xlfn.XLOOKUP(R9,A2:A111,D2:D111)</f>
        <v>7.0999999999999994E-2</v>
      </c>
      <c r="V9" s="18">
        <f t="shared" si="6"/>
        <v>15.335999999999999</v>
      </c>
      <c r="X9" s="1" t="s">
        <v>38</v>
      </c>
      <c r="Y9" s="1">
        <v>213</v>
      </c>
      <c r="Z9" s="1" t="s">
        <v>22</v>
      </c>
      <c r="AA9" s="1">
        <f t="shared" si="7"/>
        <v>0.498</v>
      </c>
      <c r="AB9" s="18">
        <f t="shared" si="8"/>
        <v>106.074</v>
      </c>
      <c r="AD9" s="1" t="s">
        <v>21</v>
      </c>
      <c r="AE9" s="1">
        <v>8320</v>
      </c>
      <c r="AF9" s="8" t="s">
        <v>22</v>
      </c>
      <c r="AG9" s="1">
        <f>_xlfn.XLOOKUP(AD9,A2:A115,D2:D115)</f>
        <v>1.159E-2</v>
      </c>
      <c r="AH9" s="18">
        <f t="shared" si="10"/>
        <v>96.428799999999995</v>
      </c>
      <c r="AJ9" s="8" t="s">
        <v>41</v>
      </c>
      <c r="AK9" s="8">
        <f>SUM(AK4:AK8)</f>
        <v>10035</v>
      </c>
      <c r="AL9" s="8" t="s">
        <v>22</v>
      </c>
      <c r="AM9" s="8"/>
      <c r="AN9" s="18">
        <f>SUM(AN4:AN8)</f>
        <v>1260.2745</v>
      </c>
      <c r="AP9" s="8" t="s">
        <v>41</v>
      </c>
      <c r="AQ9" s="8">
        <f>SUM(AQ4:AQ8)</f>
        <v>25150</v>
      </c>
      <c r="AR9" s="8" t="s">
        <v>22</v>
      </c>
      <c r="AS9" s="8"/>
      <c r="AT9" s="18">
        <f>SUM(AT4:AT8)</f>
        <v>466.3075</v>
      </c>
    </row>
    <row r="10" spans="1:52" x14ac:dyDescent="0.2">
      <c r="A10" s="1" t="s">
        <v>42</v>
      </c>
      <c r="B10" s="3">
        <v>11.59</v>
      </c>
      <c r="C10" s="5" t="s">
        <v>12</v>
      </c>
      <c r="D10" s="6">
        <f t="shared" si="0"/>
        <v>1.159E-2</v>
      </c>
      <c r="F10" s="1" t="s">
        <v>43</v>
      </c>
      <c r="G10" s="1"/>
      <c r="H10" s="1"/>
      <c r="I10" s="1"/>
      <c r="J10" s="20">
        <f>J9/G9</f>
        <v>4.4025954041854741E-2</v>
      </c>
      <c r="L10" s="1" t="s">
        <v>28</v>
      </c>
      <c r="M10" s="1">
        <v>2160</v>
      </c>
      <c r="N10" s="1" t="s">
        <v>22</v>
      </c>
      <c r="O10" s="1">
        <f t="shared" si="3"/>
        <v>7.0999999999999994E-2</v>
      </c>
      <c r="P10" s="18">
        <f t="shared" si="4"/>
        <v>153.35999999999999</v>
      </c>
      <c r="R10" s="1" t="s">
        <v>44</v>
      </c>
      <c r="S10" s="1">
        <v>1</v>
      </c>
      <c r="T10" s="1" t="s">
        <v>22</v>
      </c>
      <c r="U10" s="1">
        <f t="shared" si="5"/>
        <v>0.65800000000000003</v>
      </c>
      <c r="V10" s="18">
        <f t="shared" si="6"/>
        <v>0.65800000000000003</v>
      </c>
      <c r="X10" s="1" t="s">
        <v>41</v>
      </c>
      <c r="Y10" s="1">
        <f>SUM(Y4:Y9)</f>
        <v>3404</v>
      </c>
      <c r="Z10" s="1" t="s">
        <v>22</v>
      </c>
      <c r="AA10" s="1"/>
      <c r="AB10" s="17">
        <f>SUM(AB4:AB9)</f>
        <v>211.90226000000001</v>
      </c>
      <c r="AD10" s="1" t="s">
        <v>30</v>
      </c>
      <c r="AE10" s="1">
        <v>104</v>
      </c>
      <c r="AF10" s="8" t="s">
        <v>22</v>
      </c>
      <c r="AG10" s="1">
        <f t="shared" si="9"/>
        <v>5.2500000000000003E-3</v>
      </c>
      <c r="AH10" s="18">
        <f t="shared" si="10"/>
        <v>0.54600000000000004</v>
      </c>
      <c r="AJ10" s="1" t="s">
        <v>43</v>
      </c>
      <c r="AK10" s="1"/>
      <c r="AL10" s="1"/>
      <c r="AM10" s="1"/>
      <c r="AN10" s="20">
        <f>AN9/AK9</f>
        <v>0.12558789237668161</v>
      </c>
      <c r="AP10" s="1" t="s">
        <v>43</v>
      </c>
      <c r="AQ10" s="1"/>
      <c r="AR10" s="1"/>
      <c r="AS10" s="1"/>
      <c r="AT10" s="20">
        <f>AT9/AQ9</f>
        <v>1.8541053677932406E-2</v>
      </c>
    </row>
    <row r="11" spans="1:52" x14ac:dyDescent="0.2">
      <c r="A11" s="1" t="s">
        <v>45</v>
      </c>
      <c r="B11" s="3">
        <v>14.11</v>
      </c>
      <c r="C11" s="5" t="s">
        <v>12</v>
      </c>
      <c r="D11" s="6">
        <f t="shared" si="0"/>
        <v>1.4109999999999999E-2</v>
      </c>
      <c r="L11" s="1" t="s">
        <v>41</v>
      </c>
      <c r="M11" s="1">
        <f>SUM(M4:M10)</f>
        <v>7046</v>
      </c>
      <c r="N11" s="1" t="s">
        <v>22</v>
      </c>
      <c r="O11" s="1"/>
      <c r="P11" s="17">
        <f>SUM(P4:P10)</f>
        <v>266.5059</v>
      </c>
      <c r="R11" s="1" t="s">
        <v>41</v>
      </c>
      <c r="S11" s="1">
        <f>SUM(S4:S10)</f>
        <v>1821</v>
      </c>
      <c r="T11" s="1" t="s">
        <v>22</v>
      </c>
      <c r="U11" s="1"/>
      <c r="V11" s="17">
        <f>SUM(V4:V10)</f>
        <v>122.18668000000002</v>
      </c>
      <c r="X11" s="1" t="s">
        <v>43</v>
      </c>
      <c r="Y11" s="1"/>
      <c r="Z11" s="1" t="s">
        <v>22</v>
      </c>
      <c r="AA11" s="1"/>
      <c r="AB11" s="1">
        <f>AB10/Y10</f>
        <v>6.2250957696827265E-2</v>
      </c>
      <c r="AD11" s="1" t="s">
        <v>13</v>
      </c>
      <c r="AE11" s="1">
        <v>52</v>
      </c>
      <c r="AF11" s="8" t="s">
        <v>22</v>
      </c>
      <c r="AG11" s="1">
        <f>_xlfn.XLOOKUP(AD11,A2:A117,D2:D117)</f>
        <v>0.12909999999999999</v>
      </c>
      <c r="AH11" s="18">
        <f t="shared" si="10"/>
        <v>6.7131999999999996</v>
      </c>
    </row>
    <row r="12" spans="1:52" x14ac:dyDescent="0.2">
      <c r="A12" s="1" t="s">
        <v>46</v>
      </c>
      <c r="B12" s="3">
        <v>24.61</v>
      </c>
      <c r="C12" s="5" t="s">
        <v>12</v>
      </c>
      <c r="D12" s="6">
        <f t="shared" si="0"/>
        <v>2.461E-2</v>
      </c>
      <c r="F12" s="64" t="s">
        <v>47</v>
      </c>
      <c r="G12" s="64"/>
      <c r="H12" s="64"/>
      <c r="I12" s="64"/>
      <c r="J12" s="64"/>
      <c r="L12" s="1" t="s">
        <v>43</v>
      </c>
      <c r="M12" s="1"/>
      <c r="N12" s="1" t="s">
        <v>22</v>
      </c>
      <c r="O12" s="1"/>
      <c r="P12" s="1">
        <f>P11/M11</f>
        <v>3.7823715583309679E-2</v>
      </c>
      <c r="R12" s="1" t="s">
        <v>43</v>
      </c>
      <c r="S12" s="1"/>
      <c r="T12" s="1" t="s">
        <v>22</v>
      </c>
      <c r="U12" s="1"/>
      <c r="V12" s="1">
        <f>V11/S11</f>
        <v>6.7098671059857229E-2</v>
      </c>
      <c r="AD12" s="1" t="s">
        <v>48</v>
      </c>
      <c r="AE12" s="1">
        <v>3250</v>
      </c>
      <c r="AF12" s="8" t="s">
        <v>22</v>
      </c>
      <c r="AG12" s="1">
        <f t="shared" si="9"/>
        <v>0.28125</v>
      </c>
      <c r="AH12" s="18">
        <f t="shared" si="10"/>
        <v>914.0625</v>
      </c>
      <c r="AJ12" s="74" t="s">
        <v>49</v>
      </c>
      <c r="AK12" s="74"/>
      <c r="AL12" s="74"/>
      <c r="AM12" s="74"/>
      <c r="AN12" s="74"/>
      <c r="AP12" s="72" t="s">
        <v>50</v>
      </c>
      <c r="AQ12" s="72"/>
      <c r="AR12" s="72"/>
      <c r="AS12" s="72"/>
      <c r="AT12" s="72"/>
    </row>
    <row r="13" spans="1:52" x14ac:dyDescent="0.2">
      <c r="A13" s="1" t="s">
        <v>30</v>
      </c>
      <c r="B13" s="3">
        <v>5.25</v>
      </c>
      <c r="C13" s="5" t="s">
        <v>12</v>
      </c>
      <c r="D13" s="6">
        <f t="shared" si="0"/>
        <v>5.2500000000000003E-3</v>
      </c>
      <c r="F13" s="1" t="s">
        <v>51</v>
      </c>
      <c r="G13" s="1">
        <v>2500</v>
      </c>
      <c r="H13" s="1" t="s">
        <v>22</v>
      </c>
      <c r="I13" s="1">
        <f>_xlfn.XLOOKUP(F13,A2:A103,D2:D103)</f>
        <v>9.0999999999999998E-2</v>
      </c>
      <c r="J13" s="17">
        <f>I13*G13</f>
        <v>227.5</v>
      </c>
      <c r="X13" s="75" t="s">
        <v>52</v>
      </c>
      <c r="Y13" s="76"/>
      <c r="Z13" s="76"/>
      <c r="AA13" s="76"/>
      <c r="AB13" s="77"/>
      <c r="AD13" s="1" t="s">
        <v>53</v>
      </c>
      <c r="AE13" s="1">
        <v>650</v>
      </c>
      <c r="AF13" s="8" t="s">
        <v>22</v>
      </c>
      <c r="AG13" s="1">
        <f t="shared" si="9"/>
        <v>0.51200000000000001</v>
      </c>
      <c r="AH13" s="18">
        <f t="shared" si="10"/>
        <v>332.8</v>
      </c>
      <c r="AJ13" s="1" t="s">
        <v>34</v>
      </c>
      <c r="AK13" s="1">
        <v>225</v>
      </c>
      <c r="AL13" s="1" t="s">
        <v>22</v>
      </c>
      <c r="AM13" s="1">
        <f>_xlfn.XLOOKUP(AJ13,A11:A112,D11:D112)</f>
        <v>0.188</v>
      </c>
      <c r="AN13" s="17">
        <f>AM13*AK13</f>
        <v>42.3</v>
      </c>
      <c r="AP13" s="1" t="s">
        <v>54</v>
      </c>
      <c r="AQ13" s="1">
        <v>4000</v>
      </c>
      <c r="AR13" s="1" t="s">
        <v>22</v>
      </c>
      <c r="AS13" s="1">
        <v>1.2999999999999999E-2</v>
      </c>
      <c r="AT13" s="17">
        <f>AS13*AQ13</f>
        <v>52</v>
      </c>
    </row>
    <row r="14" spans="1:52" x14ac:dyDescent="0.2">
      <c r="A14" s="1" t="s">
        <v>55</v>
      </c>
      <c r="B14" s="3">
        <v>13.41</v>
      </c>
      <c r="C14" s="5" t="s">
        <v>12</v>
      </c>
      <c r="D14" s="6">
        <f t="shared" si="0"/>
        <v>1.341E-2</v>
      </c>
      <c r="F14" s="1" t="s">
        <v>56</v>
      </c>
      <c r="G14" s="1">
        <v>2500</v>
      </c>
      <c r="H14" s="1" t="s">
        <v>22</v>
      </c>
      <c r="I14" s="1">
        <f>_xlfn.XLOOKUP(F14,A3:A104,D3:D104)</f>
        <v>0.1056</v>
      </c>
      <c r="J14" s="17">
        <f t="shared" ref="J14:J19" si="15">I14*G14</f>
        <v>264</v>
      </c>
      <c r="L14" s="89" t="s">
        <v>57</v>
      </c>
      <c r="M14" s="90"/>
      <c r="N14" s="90"/>
      <c r="O14" s="90"/>
      <c r="P14" s="91"/>
      <c r="R14" s="82" t="s">
        <v>58</v>
      </c>
      <c r="S14" s="83"/>
      <c r="T14" s="83"/>
      <c r="U14" s="83"/>
      <c r="V14" s="84"/>
      <c r="X14" s="1" t="s">
        <v>25</v>
      </c>
      <c r="Y14" s="1">
        <v>3072</v>
      </c>
      <c r="Z14" s="1" t="s">
        <v>22</v>
      </c>
      <c r="AA14" s="1">
        <f>_xlfn.XLOOKUP(X14,A12:A117,D11:D116)</f>
        <v>4.317E-2</v>
      </c>
      <c r="AB14" s="17">
        <f>Y14*AA14</f>
        <v>132.61824000000001</v>
      </c>
      <c r="AD14" s="1" t="s">
        <v>41</v>
      </c>
      <c r="AE14" s="1">
        <f>SUM(AE4:AE13)</f>
        <v>26421</v>
      </c>
      <c r="AF14" s="1" t="s">
        <v>22</v>
      </c>
      <c r="AG14" s="1"/>
      <c r="AH14" s="17">
        <f>SUM(AH4:AH13)</f>
        <v>1997.7761</v>
      </c>
      <c r="AJ14" s="1" t="s">
        <v>28</v>
      </c>
      <c r="AK14" s="1">
        <v>342</v>
      </c>
      <c r="AL14" s="1" t="s">
        <v>22</v>
      </c>
      <c r="AM14" s="1">
        <f t="shared" ref="AM14" si="16">_xlfn.XLOOKUP(AJ14,A12:A113,D12:D113)</f>
        <v>7.0999999999999994E-2</v>
      </c>
      <c r="AN14" s="17">
        <f t="shared" ref="AN14:AN18" si="17">AM14*AK14</f>
        <v>24.281999999999996</v>
      </c>
      <c r="AP14" s="1" t="s">
        <v>59</v>
      </c>
      <c r="AQ14" s="1">
        <v>2000</v>
      </c>
      <c r="AR14" s="1" t="s">
        <v>22</v>
      </c>
      <c r="AS14" s="1">
        <f t="shared" ref="AS14" si="18">_xlfn.XLOOKUP(AP14,A12:A113,D12:D113)</f>
        <v>4.317E-2</v>
      </c>
      <c r="AT14" s="17">
        <f t="shared" ref="AT14" si="19">AS14*AQ14</f>
        <v>86.34</v>
      </c>
    </row>
    <row r="15" spans="1:52" x14ac:dyDescent="0.2">
      <c r="A15" s="1" t="s">
        <v>60</v>
      </c>
      <c r="B15" s="3">
        <v>107</v>
      </c>
      <c r="C15" s="5" t="s">
        <v>61</v>
      </c>
      <c r="D15" s="6">
        <f t="shared" si="0"/>
        <v>0.107</v>
      </c>
      <c r="F15" s="1" t="s">
        <v>62</v>
      </c>
      <c r="G15" s="1">
        <v>50</v>
      </c>
      <c r="H15" s="1" t="s">
        <v>22</v>
      </c>
      <c r="I15" s="1">
        <f>_xlfn.XLOOKUP(F15,A4:A105,D4:D105)</f>
        <v>0.11466</v>
      </c>
      <c r="J15" s="17">
        <f t="shared" si="15"/>
        <v>5.7329999999999997</v>
      </c>
      <c r="L15" s="1" t="s">
        <v>63</v>
      </c>
      <c r="M15" s="1">
        <v>10000</v>
      </c>
      <c r="N15" s="1" t="s">
        <v>22</v>
      </c>
      <c r="O15" s="1">
        <f>_xlfn.XLOOKUP(L15,A13:A116,D13:D116)</f>
        <v>0.45400000000000001</v>
      </c>
      <c r="P15" s="17">
        <f>M15*O15</f>
        <v>4540</v>
      </c>
      <c r="R15" s="1" t="s">
        <v>25</v>
      </c>
      <c r="S15" s="1">
        <v>1000</v>
      </c>
      <c r="T15" s="1" t="s">
        <v>22</v>
      </c>
      <c r="U15" s="1">
        <f>_xlfn.XLOOKUP(R15,A13:A117,D13:D117)</f>
        <v>1.8839999999999999E-2</v>
      </c>
      <c r="V15" s="17">
        <f>S15*U15</f>
        <v>18.84</v>
      </c>
      <c r="X15" s="1" t="s">
        <v>29</v>
      </c>
      <c r="Y15" s="1">
        <v>154</v>
      </c>
      <c r="Z15" s="1" t="s">
        <v>22</v>
      </c>
      <c r="AA15" s="1">
        <f t="shared" ref="AA15:AA16" si="20">_xlfn.XLOOKUP(X15,A13:A118,D12:D117)</f>
        <v>0.17349000000000001</v>
      </c>
      <c r="AB15" s="17">
        <f t="shared" ref="AB15:AB19" si="21">Y15*AA15</f>
        <v>26.717459999999999</v>
      </c>
      <c r="AD15" s="1" t="s">
        <v>43</v>
      </c>
      <c r="AE15" s="1"/>
      <c r="AF15" s="1" t="s">
        <v>22</v>
      </c>
      <c r="AG15" s="1"/>
      <c r="AH15" s="1">
        <f>AH14/AE14</f>
        <v>7.5613190265319249E-2</v>
      </c>
      <c r="AJ15" s="1" t="s">
        <v>26</v>
      </c>
      <c r="AK15" s="1">
        <v>420</v>
      </c>
      <c r="AL15" s="1" t="s">
        <v>22</v>
      </c>
      <c r="AM15" s="1">
        <f>_xlfn.XLOOKUP(AJ15,A2:A114,D2:D114)</f>
        <v>1.315E-2</v>
      </c>
      <c r="AN15" s="17">
        <f t="shared" si="17"/>
        <v>5.5229999999999997</v>
      </c>
      <c r="AP15" s="8" t="s">
        <v>41</v>
      </c>
      <c r="AQ15" s="8">
        <f>SUM(AQ13:AQ14)</f>
        <v>6000</v>
      </c>
      <c r="AR15" s="8" t="s">
        <v>22</v>
      </c>
      <c r="AS15" s="8"/>
      <c r="AT15" s="18">
        <f>SUM(AT13:AT14)</f>
        <v>138.34</v>
      </c>
    </row>
    <row r="16" spans="1:52" x14ac:dyDescent="0.2">
      <c r="A16" s="1" t="s">
        <v>64</v>
      </c>
      <c r="B16" s="3">
        <v>37.9</v>
      </c>
      <c r="C16" s="5" t="s">
        <v>61</v>
      </c>
      <c r="D16" s="6">
        <f t="shared" si="0"/>
        <v>3.7899999999999996E-2</v>
      </c>
      <c r="F16" s="1" t="s">
        <v>26</v>
      </c>
      <c r="G16" s="1">
        <v>5000</v>
      </c>
      <c r="H16" s="1" t="s">
        <v>22</v>
      </c>
      <c r="I16" s="1">
        <f>_xlfn.XLOOKUP(F16,A5:A106,D5:D106)</f>
        <v>1.315E-2</v>
      </c>
      <c r="J16" s="17">
        <f t="shared" si="15"/>
        <v>65.75</v>
      </c>
      <c r="L16" s="1" t="s">
        <v>26</v>
      </c>
      <c r="M16" s="1">
        <v>4300</v>
      </c>
      <c r="N16" s="1" t="s">
        <v>22</v>
      </c>
      <c r="O16" s="1">
        <f>_xlfn.XLOOKUP(L16,A1:A117,D1:D117)</f>
        <v>1.315E-2</v>
      </c>
      <c r="P16" s="17">
        <f t="shared" ref="P16:P18" si="22">M16*O16</f>
        <v>56.545000000000002</v>
      </c>
      <c r="R16" s="1" t="s">
        <v>39</v>
      </c>
      <c r="S16" s="1">
        <v>1000</v>
      </c>
      <c r="T16" s="1" t="s">
        <v>22</v>
      </c>
      <c r="U16" s="1">
        <f t="shared" ref="U16:U19" si="23">_xlfn.XLOOKUP(R16,A14:A118,D14:D118)</f>
        <v>5.6149999999999999E-2</v>
      </c>
      <c r="V16" s="17">
        <f t="shared" ref="V16:V20" si="24">S16*U16</f>
        <v>56.15</v>
      </c>
      <c r="X16" s="1" t="s">
        <v>33</v>
      </c>
      <c r="Y16" s="1">
        <v>384</v>
      </c>
      <c r="Z16" s="1" t="s">
        <v>22</v>
      </c>
      <c r="AA16" s="1">
        <f t="shared" si="20"/>
        <v>0.188</v>
      </c>
      <c r="AB16" s="17">
        <f t="shared" si="21"/>
        <v>72.192000000000007</v>
      </c>
      <c r="AJ16" s="1" t="s">
        <v>35</v>
      </c>
      <c r="AK16" s="1">
        <v>312</v>
      </c>
      <c r="AL16" s="1" t="s">
        <v>22</v>
      </c>
      <c r="AM16" s="1">
        <f t="shared" ref="AM16:AM17" si="25">_xlfn.XLOOKUP(AJ16,A3:A115,D3:D115)</f>
        <v>4.9500000000000002E-2</v>
      </c>
      <c r="AN16" s="17">
        <f t="shared" si="17"/>
        <v>15.444000000000001</v>
      </c>
      <c r="AP16" s="1" t="s">
        <v>43</v>
      </c>
      <c r="AQ16" s="1"/>
      <c r="AR16" s="1"/>
      <c r="AS16" s="1"/>
      <c r="AT16" s="20">
        <f>AT15/AQ15</f>
        <v>2.3056666666666666E-2</v>
      </c>
    </row>
    <row r="17" spans="1:46" x14ac:dyDescent="0.2">
      <c r="A17" s="1" t="s">
        <v>65</v>
      </c>
      <c r="B17" s="3">
        <v>29.7</v>
      </c>
      <c r="C17" s="5" t="s">
        <v>12</v>
      </c>
      <c r="D17" s="6">
        <f t="shared" si="0"/>
        <v>2.9700000000000001E-2</v>
      </c>
      <c r="F17" s="1" t="s">
        <v>28</v>
      </c>
      <c r="G17" s="1">
        <v>3800</v>
      </c>
      <c r="H17" s="1" t="s">
        <v>22</v>
      </c>
      <c r="I17" s="1">
        <f>_xlfn.XLOOKUP(F17,A6:A107,D6:D107)</f>
        <v>7.0999999999999994E-2</v>
      </c>
      <c r="J17" s="17">
        <f t="shared" si="15"/>
        <v>269.79999999999995</v>
      </c>
      <c r="L17" s="1" t="s">
        <v>64</v>
      </c>
      <c r="M17" s="1">
        <v>1700</v>
      </c>
      <c r="N17" s="1" t="s">
        <v>22</v>
      </c>
      <c r="O17" s="1">
        <f t="shared" ref="O17:O18" si="26">_xlfn.XLOOKUP(L17,A2:A118,D2:D118)</f>
        <v>3.7899999999999996E-2</v>
      </c>
      <c r="P17" s="17">
        <f t="shared" si="22"/>
        <v>64.429999999999993</v>
      </c>
      <c r="R17" s="1" t="s">
        <v>34</v>
      </c>
      <c r="S17" s="1">
        <v>400</v>
      </c>
      <c r="T17" s="1" t="s">
        <v>22</v>
      </c>
      <c r="U17" s="1">
        <f t="shared" si="23"/>
        <v>0.188</v>
      </c>
      <c r="V17" s="17">
        <f t="shared" si="24"/>
        <v>75.2</v>
      </c>
      <c r="X17" s="2" t="s">
        <v>66</v>
      </c>
      <c r="Y17" s="1">
        <v>3840</v>
      </c>
      <c r="Z17" s="1" t="s">
        <v>22</v>
      </c>
      <c r="AA17" s="1">
        <f>_xlfn.XLOOKUP(X17,A12:A117,D12:D117)</f>
        <v>0.35599999999999998</v>
      </c>
      <c r="AB17" s="17">
        <f t="shared" si="21"/>
        <v>1367.04</v>
      </c>
      <c r="AD17" s="79" t="s">
        <v>67</v>
      </c>
      <c r="AE17" s="80"/>
      <c r="AF17" s="80"/>
      <c r="AG17" s="80"/>
      <c r="AH17" s="81"/>
      <c r="AJ17" s="1" t="s">
        <v>68</v>
      </c>
      <c r="AK17" s="1">
        <v>435</v>
      </c>
      <c r="AL17" s="1" t="s">
        <v>22</v>
      </c>
      <c r="AM17" s="1">
        <f t="shared" si="25"/>
        <v>4.4999999999999998E-2</v>
      </c>
      <c r="AN17" s="17">
        <f t="shared" si="17"/>
        <v>19.574999999999999</v>
      </c>
    </row>
    <row r="18" spans="1:46" x14ac:dyDescent="0.2">
      <c r="A18" s="1" t="s">
        <v>69</v>
      </c>
      <c r="B18" s="3">
        <v>32.39</v>
      </c>
      <c r="C18" s="5" t="s">
        <v>12</v>
      </c>
      <c r="D18" s="6">
        <f t="shared" si="0"/>
        <v>3.2390000000000002E-2</v>
      </c>
      <c r="F18" s="1" t="s">
        <v>33</v>
      </c>
      <c r="G18" s="1">
        <v>455</v>
      </c>
      <c r="H18" s="1" t="s">
        <v>22</v>
      </c>
      <c r="I18" s="1">
        <f>_xlfn.XLOOKUP(F18,A7:A108,D7:D108)</f>
        <v>0.13930000000000001</v>
      </c>
      <c r="J18" s="17">
        <f t="shared" si="15"/>
        <v>63.381500000000003</v>
      </c>
      <c r="L18" s="1" t="s">
        <v>30</v>
      </c>
      <c r="M18" s="1">
        <v>100</v>
      </c>
      <c r="N18" s="1" t="s">
        <v>22</v>
      </c>
      <c r="O18" s="1">
        <f t="shared" si="26"/>
        <v>5.2500000000000003E-3</v>
      </c>
      <c r="P18" s="17">
        <f t="shared" si="22"/>
        <v>0.52500000000000002</v>
      </c>
      <c r="R18" s="1" t="s">
        <v>26</v>
      </c>
      <c r="S18" s="1">
        <v>332.5</v>
      </c>
      <c r="T18" s="1" t="s">
        <v>22</v>
      </c>
      <c r="U18" s="1">
        <f>_xlfn.XLOOKUP(R18,A1:A120,D1:D120)</f>
        <v>1.315E-2</v>
      </c>
      <c r="V18" s="17">
        <f t="shared" si="24"/>
        <v>4.3723749999999999</v>
      </c>
      <c r="X18" s="8" t="s">
        <v>39</v>
      </c>
      <c r="Y18" s="8">
        <v>6144</v>
      </c>
      <c r="Z18" s="8" t="s">
        <v>22</v>
      </c>
      <c r="AA18" s="1">
        <f t="shared" ref="AA18:AA19" si="27">_xlfn.XLOOKUP(X18,A16:A121,D15:D120)</f>
        <v>1.8839999999999999E-2</v>
      </c>
      <c r="AB18" s="18">
        <f t="shared" si="21"/>
        <v>115.75296</v>
      </c>
      <c r="AD18" s="1" t="s">
        <v>26</v>
      </c>
      <c r="AE18" s="1">
        <v>1305</v>
      </c>
      <c r="AF18" s="1" t="s">
        <v>22</v>
      </c>
      <c r="AG18" s="1">
        <f>_xlfn.XLOOKUP(AD18,A2:A124,D2:D124)</f>
        <v>1.315E-2</v>
      </c>
      <c r="AH18" s="17">
        <f>AE18*AG18</f>
        <v>17.16075</v>
      </c>
      <c r="AJ18" s="1" t="s">
        <v>26</v>
      </c>
      <c r="AK18" s="1">
        <v>240</v>
      </c>
      <c r="AL18" s="1" t="s">
        <v>22</v>
      </c>
      <c r="AM18" s="1">
        <f>_xlfn.XLOOKUP(AJ18,A5:A117,D5:D117)</f>
        <v>1.315E-2</v>
      </c>
      <c r="AN18" s="17">
        <f t="shared" si="17"/>
        <v>3.1560000000000001</v>
      </c>
      <c r="AP18" s="72" t="s">
        <v>70</v>
      </c>
      <c r="AQ18" s="72"/>
      <c r="AR18" s="72"/>
      <c r="AS18" s="72"/>
      <c r="AT18" s="72"/>
    </row>
    <row r="19" spans="1:46" x14ac:dyDescent="0.2">
      <c r="A19" s="1" t="s">
        <v>71</v>
      </c>
      <c r="B19" s="3">
        <v>100.48</v>
      </c>
      <c r="C19" s="5" t="s">
        <v>12</v>
      </c>
      <c r="D19" s="6">
        <f t="shared" si="0"/>
        <v>0.10048</v>
      </c>
      <c r="F19" s="8" t="s">
        <v>24</v>
      </c>
      <c r="G19" s="8">
        <v>4500</v>
      </c>
      <c r="H19" s="8" t="s">
        <v>22</v>
      </c>
      <c r="I19" s="8">
        <f>_xlfn.XLOOKUP(F19,A8:A109,D8:D109)</f>
        <v>7.6060000000000003E-2</v>
      </c>
      <c r="J19" s="18">
        <f t="shared" si="15"/>
        <v>342.27000000000004</v>
      </c>
      <c r="L19" s="1" t="s">
        <v>41</v>
      </c>
      <c r="M19" s="1">
        <f>SUM(M15:M18)</f>
        <v>16100</v>
      </c>
      <c r="N19" s="1" t="s">
        <v>22</v>
      </c>
      <c r="O19" s="1"/>
      <c r="P19" s="17">
        <f>SUM(P15:P18)</f>
        <v>4661.5</v>
      </c>
      <c r="R19" s="8" t="s">
        <v>72</v>
      </c>
      <c r="S19" s="8">
        <v>5</v>
      </c>
      <c r="T19" s="8" t="s">
        <v>73</v>
      </c>
      <c r="U19" s="1">
        <f t="shared" si="23"/>
        <v>14.6</v>
      </c>
      <c r="V19" s="18">
        <f t="shared" si="24"/>
        <v>73</v>
      </c>
      <c r="X19" s="1" t="s">
        <v>74</v>
      </c>
      <c r="Y19" s="1">
        <v>461</v>
      </c>
      <c r="Z19" s="1" t="s">
        <v>22</v>
      </c>
      <c r="AA19" s="1">
        <f t="shared" si="27"/>
        <v>0.81279999999999997</v>
      </c>
      <c r="AB19" s="18">
        <f t="shared" si="21"/>
        <v>374.70079999999996</v>
      </c>
      <c r="AD19" s="1" t="s">
        <v>29</v>
      </c>
      <c r="AE19" s="1">
        <v>348</v>
      </c>
      <c r="AF19" s="1" t="s">
        <v>22</v>
      </c>
      <c r="AG19" s="1">
        <f t="shared" ref="AG19:AG23" si="28">_xlfn.XLOOKUP(AD19,A3:A125,D3:D125)</f>
        <v>8.1000000000000003E-2</v>
      </c>
      <c r="AH19" s="17">
        <f t="shared" ref="AH19:AH23" si="29">AE19*AG19</f>
        <v>28.188000000000002</v>
      </c>
      <c r="AJ19" s="8" t="s">
        <v>41</v>
      </c>
      <c r="AK19" s="8">
        <f>SUM(AK13:AK18)</f>
        <v>1974</v>
      </c>
      <c r="AL19" s="8" t="s">
        <v>22</v>
      </c>
      <c r="AM19" s="8"/>
      <c r="AN19" s="18">
        <f>SUM(AN13:AN18)</f>
        <v>110.28</v>
      </c>
      <c r="AP19" s="1" t="s">
        <v>25</v>
      </c>
      <c r="AQ19" s="1">
        <v>2400</v>
      </c>
      <c r="AR19" s="1" t="s">
        <v>22</v>
      </c>
      <c r="AS19" s="1">
        <f>_xlfn.XLOOKUP(AP19,A2:A112,D2:D112)</f>
        <v>1.8839999999999999E-2</v>
      </c>
      <c r="AT19" s="17">
        <f>AS19*AQ19</f>
        <v>45.216000000000001</v>
      </c>
    </row>
    <row r="20" spans="1:46" x14ac:dyDescent="0.2">
      <c r="A20" s="1" t="s">
        <v>75</v>
      </c>
      <c r="B20" s="3">
        <v>61.57</v>
      </c>
      <c r="C20" s="5" t="s">
        <v>12</v>
      </c>
      <c r="D20" s="6">
        <f t="shared" si="0"/>
        <v>6.157E-2</v>
      </c>
      <c r="F20" s="1" t="s">
        <v>41</v>
      </c>
      <c r="G20" s="1">
        <f>SUM(G13:G19)</f>
        <v>18805</v>
      </c>
      <c r="H20" s="1" t="s">
        <v>22</v>
      </c>
      <c r="I20" s="1"/>
      <c r="J20" s="17">
        <f>SUM(J13:J19)</f>
        <v>1238.4344999999998</v>
      </c>
      <c r="L20" s="1" t="s">
        <v>43</v>
      </c>
      <c r="M20" s="1"/>
      <c r="N20" s="1" t="s">
        <v>22</v>
      </c>
      <c r="O20" s="1"/>
      <c r="P20" s="1">
        <f>P19/M19</f>
        <v>0.28953416149068323</v>
      </c>
      <c r="R20" s="1" t="s">
        <v>33</v>
      </c>
      <c r="S20" s="1">
        <v>167.5</v>
      </c>
      <c r="T20" s="1" t="s">
        <v>22</v>
      </c>
      <c r="U20" s="1">
        <f>_xlfn.XLOOKUP(R20,A13:A122,D13:D122)</f>
        <v>0.13930000000000001</v>
      </c>
      <c r="V20" s="18">
        <f t="shared" si="24"/>
        <v>23.332750000000001</v>
      </c>
      <c r="X20" s="1" t="s">
        <v>41</v>
      </c>
      <c r="Y20" s="1">
        <f>SUM(Y14:Y19)</f>
        <v>14055</v>
      </c>
      <c r="Z20" s="1" t="s">
        <v>22</v>
      </c>
      <c r="AA20" s="1"/>
      <c r="AB20" s="17">
        <f>SUM(AB14:AB19)</f>
        <v>2089.0214599999999</v>
      </c>
      <c r="AD20" s="1" t="s">
        <v>23</v>
      </c>
      <c r="AE20" s="1">
        <v>261</v>
      </c>
      <c r="AF20" s="1" t="s">
        <v>22</v>
      </c>
      <c r="AG20" s="1">
        <f t="shared" si="28"/>
        <v>0</v>
      </c>
      <c r="AH20" s="17">
        <f t="shared" si="29"/>
        <v>0</v>
      </c>
      <c r="AJ20" s="1" t="s">
        <v>43</v>
      </c>
      <c r="AK20" s="1"/>
      <c r="AL20" s="1"/>
      <c r="AM20" s="1"/>
      <c r="AN20" s="20">
        <f>AN19/AK19</f>
        <v>5.5866261398176291E-2</v>
      </c>
      <c r="AP20" s="1" t="s">
        <v>72</v>
      </c>
      <c r="AQ20" s="1">
        <v>6</v>
      </c>
      <c r="AR20" s="1" t="s">
        <v>73</v>
      </c>
      <c r="AS20" s="1">
        <f t="shared" ref="AS20:AS25" si="30">_xlfn.XLOOKUP(AP20,A3:A113,D3:D113)</f>
        <v>14.6</v>
      </c>
      <c r="AT20" s="17">
        <f t="shared" ref="AT20:AT25" si="31">AS20*AQ20</f>
        <v>87.6</v>
      </c>
    </row>
    <row r="21" spans="1:46" x14ac:dyDescent="0.2">
      <c r="A21" s="1" t="s">
        <v>76</v>
      </c>
      <c r="B21" s="3">
        <v>81.03</v>
      </c>
      <c r="C21" s="5" t="s">
        <v>12</v>
      </c>
      <c r="D21" s="6">
        <f t="shared" si="0"/>
        <v>8.1030000000000005E-2</v>
      </c>
      <c r="F21" s="1" t="s">
        <v>43</v>
      </c>
      <c r="G21" s="1"/>
      <c r="H21" s="1"/>
      <c r="I21" s="1"/>
      <c r="J21" s="20">
        <f>J20/G20</f>
        <v>6.5856660462642908E-2</v>
      </c>
      <c r="R21" s="1" t="s">
        <v>41</v>
      </c>
      <c r="S21" s="1">
        <f>SUM(S15:S20)</f>
        <v>2905</v>
      </c>
      <c r="T21" s="1" t="s">
        <v>22</v>
      </c>
      <c r="U21" s="1"/>
      <c r="V21" s="17">
        <f>SUM(V15:V20)</f>
        <v>250.89512500000001</v>
      </c>
      <c r="X21" s="1" t="s">
        <v>43</v>
      </c>
      <c r="Y21" s="1"/>
      <c r="Z21" s="1" t="s">
        <v>22</v>
      </c>
      <c r="AA21" s="1"/>
      <c r="AB21" s="1">
        <f>AB20/Y20</f>
        <v>0.14863190750622554</v>
      </c>
      <c r="AD21" s="1" t="s">
        <v>39</v>
      </c>
      <c r="AE21" s="1">
        <v>783</v>
      </c>
      <c r="AF21" s="1" t="s">
        <v>22</v>
      </c>
      <c r="AG21" s="1">
        <f t="shared" si="28"/>
        <v>5.6149999999999999E-2</v>
      </c>
      <c r="AH21" s="17">
        <f t="shared" si="29"/>
        <v>43.965449999999997</v>
      </c>
      <c r="AP21" s="1" t="s">
        <v>24</v>
      </c>
      <c r="AQ21" s="1">
        <v>300</v>
      </c>
      <c r="AR21" s="1" t="s">
        <v>22</v>
      </c>
      <c r="AS21" s="1">
        <f t="shared" si="30"/>
        <v>7.6060000000000003E-2</v>
      </c>
      <c r="AT21" s="17">
        <f t="shared" si="31"/>
        <v>22.818000000000001</v>
      </c>
    </row>
    <row r="22" spans="1:46" x14ac:dyDescent="0.2">
      <c r="A22" s="1" t="s">
        <v>77</v>
      </c>
      <c r="B22" s="3">
        <v>106.04</v>
      </c>
      <c r="C22" s="5" t="s">
        <v>12</v>
      </c>
      <c r="D22" s="6">
        <f t="shared" si="0"/>
        <v>0.10604000000000001</v>
      </c>
      <c r="L22" s="89" t="s">
        <v>78</v>
      </c>
      <c r="M22" s="90"/>
      <c r="N22" s="90"/>
      <c r="O22" s="90"/>
      <c r="P22" s="91"/>
      <c r="R22" s="1" t="s">
        <v>43</v>
      </c>
      <c r="S22" s="1"/>
      <c r="T22" s="1" t="s">
        <v>22</v>
      </c>
      <c r="U22" s="1"/>
      <c r="V22" s="1">
        <f>V21/S21</f>
        <v>8.636665232358004E-2</v>
      </c>
      <c r="AD22" s="8" t="s">
        <v>24</v>
      </c>
      <c r="AE22" s="8">
        <v>783</v>
      </c>
      <c r="AF22" s="8" t="s">
        <v>22</v>
      </c>
      <c r="AG22" s="1">
        <f t="shared" si="28"/>
        <v>7.6060000000000003E-2</v>
      </c>
      <c r="AH22" s="18">
        <f t="shared" si="29"/>
        <v>59.55498</v>
      </c>
      <c r="AJ22" s="74" t="s">
        <v>79</v>
      </c>
      <c r="AK22" s="74"/>
      <c r="AL22" s="74"/>
      <c r="AM22" s="74"/>
      <c r="AN22" s="74"/>
      <c r="AP22" s="2" t="s">
        <v>26</v>
      </c>
      <c r="AQ22" s="1">
        <v>720</v>
      </c>
      <c r="AR22" s="1" t="s">
        <v>22</v>
      </c>
      <c r="AS22" s="1">
        <f t="shared" si="30"/>
        <v>1.315E-2</v>
      </c>
      <c r="AT22" s="17">
        <f t="shared" si="31"/>
        <v>9.468</v>
      </c>
    </row>
    <row r="23" spans="1:46" x14ac:dyDescent="0.2">
      <c r="A23" s="1" t="s">
        <v>80</v>
      </c>
      <c r="B23" s="3">
        <v>89</v>
      </c>
      <c r="C23" s="5" t="s">
        <v>12</v>
      </c>
      <c r="D23" s="6">
        <f t="shared" si="0"/>
        <v>8.8999999999999996E-2</v>
      </c>
      <c r="F23" s="64" t="s">
        <v>81</v>
      </c>
      <c r="G23" s="64"/>
      <c r="H23" s="64"/>
      <c r="I23" s="64"/>
      <c r="J23" s="64"/>
      <c r="L23" s="1" t="s">
        <v>82</v>
      </c>
      <c r="M23" s="1">
        <v>2475</v>
      </c>
      <c r="N23" s="1" t="s">
        <v>22</v>
      </c>
      <c r="O23" s="1">
        <v>0.28899999999999998</v>
      </c>
      <c r="P23" s="17">
        <f>M23*O23</f>
        <v>715.27499999999998</v>
      </c>
      <c r="X23" s="75" t="s">
        <v>83</v>
      </c>
      <c r="Y23" s="76"/>
      <c r="Z23" s="76"/>
      <c r="AA23" s="76"/>
      <c r="AB23" s="77"/>
      <c r="AD23" s="1" t="s">
        <v>30</v>
      </c>
      <c r="AE23" s="1">
        <v>13.5</v>
      </c>
      <c r="AF23" s="8" t="s">
        <v>22</v>
      </c>
      <c r="AG23" s="1">
        <f t="shared" si="28"/>
        <v>5.2500000000000003E-3</v>
      </c>
      <c r="AH23" s="18">
        <f t="shared" si="29"/>
        <v>7.0875000000000007E-2</v>
      </c>
      <c r="AJ23" s="1" t="s">
        <v>84</v>
      </c>
      <c r="AK23" s="1">
        <v>600</v>
      </c>
      <c r="AL23" s="1" t="s">
        <v>22</v>
      </c>
      <c r="AM23" s="1">
        <f>_xlfn.XLOOKUP(AJ23,A21:A122,D21:D122)</f>
        <v>0.17299999999999999</v>
      </c>
      <c r="AN23" s="17">
        <f>AM23*AK23</f>
        <v>103.8</v>
      </c>
      <c r="AP23" s="1" t="s">
        <v>28</v>
      </c>
      <c r="AQ23" s="1">
        <v>360</v>
      </c>
      <c r="AR23" s="1" t="s">
        <v>22</v>
      </c>
      <c r="AS23" s="1">
        <f t="shared" si="30"/>
        <v>7.0999999999999994E-2</v>
      </c>
      <c r="AT23" s="17">
        <f t="shared" si="31"/>
        <v>25.56</v>
      </c>
    </row>
    <row r="24" spans="1:46" x14ac:dyDescent="0.2">
      <c r="A24" s="1" t="s">
        <v>85</v>
      </c>
      <c r="B24" s="3">
        <v>26.5</v>
      </c>
      <c r="C24" s="5" t="s">
        <v>12</v>
      </c>
      <c r="D24" s="6">
        <f t="shared" si="0"/>
        <v>2.6499999999999999E-2</v>
      </c>
      <c r="F24" s="1" t="s">
        <v>86</v>
      </c>
      <c r="G24" s="1">
        <v>2000</v>
      </c>
      <c r="H24" s="1" t="s">
        <v>22</v>
      </c>
      <c r="I24" s="1">
        <f>_xlfn.XLOOKUP(F24,A2:A103,D2:D103)</f>
        <v>0.126</v>
      </c>
      <c r="J24" s="17">
        <f>I24*G24</f>
        <v>252</v>
      </c>
      <c r="L24" s="1" t="s">
        <v>87</v>
      </c>
      <c r="M24" s="1">
        <v>825</v>
      </c>
      <c r="N24" s="1" t="s">
        <v>22</v>
      </c>
      <c r="O24" s="1">
        <f>_xlfn.XLOOKUP(L24,A2:A125,D2:D125)</f>
        <v>0.249</v>
      </c>
      <c r="P24" s="17">
        <f t="shared" ref="P24:P25" si="32">M24*O24</f>
        <v>205.42500000000001</v>
      </c>
      <c r="R24" s="85" t="s">
        <v>49</v>
      </c>
      <c r="S24" s="85"/>
      <c r="T24" s="85"/>
      <c r="U24" s="85"/>
      <c r="V24" s="85"/>
      <c r="X24" s="1" t="s">
        <v>23</v>
      </c>
      <c r="Y24" s="1">
        <v>5000</v>
      </c>
      <c r="Z24" s="1" t="s">
        <v>22</v>
      </c>
      <c r="AA24" s="1">
        <f>_xlfn.XLOOKUP(X24,A2:A108,D2:D108)</f>
        <v>0</v>
      </c>
      <c r="AB24" s="17">
        <f>Y24*AA24</f>
        <v>0</v>
      </c>
      <c r="AD24" s="1" t="s">
        <v>41</v>
      </c>
      <c r="AE24" s="1">
        <f>SUM(AE18:AE23)</f>
        <v>3493.5</v>
      </c>
      <c r="AF24" s="1" t="s">
        <v>22</v>
      </c>
      <c r="AG24" s="1"/>
      <c r="AH24" s="17">
        <f>SUM(AH18:AH23)</f>
        <v>148.940055</v>
      </c>
      <c r="AJ24" s="1" t="s">
        <v>26</v>
      </c>
      <c r="AK24" s="1">
        <v>540</v>
      </c>
      <c r="AL24" s="1" t="s">
        <v>22</v>
      </c>
      <c r="AM24" s="1">
        <f>_xlfn.XLOOKUP(AJ24,A2:A123,D2:D123)</f>
        <v>1.315E-2</v>
      </c>
      <c r="AN24" s="17">
        <f t="shared" ref="AN24:AN27" si="33">AM24*AK24</f>
        <v>7.101</v>
      </c>
      <c r="AP24" s="1" t="s">
        <v>88</v>
      </c>
      <c r="AQ24" s="8">
        <v>270</v>
      </c>
      <c r="AR24" s="1" t="s">
        <v>22</v>
      </c>
      <c r="AS24" s="1">
        <f t="shared" si="30"/>
        <v>0.35039999999999999</v>
      </c>
      <c r="AT24" s="17">
        <f t="shared" si="31"/>
        <v>94.608000000000004</v>
      </c>
    </row>
    <row r="25" spans="1:46" x14ac:dyDescent="0.2">
      <c r="A25" s="1" t="s">
        <v>89</v>
      </c>
      <c r="B25" s="3">
        <v>15.75</v>
      </c>
      <c r="C25" s="5" t="s">
        <v>12</v>
      </c>
      <c r="D25" s="6">
        <f t="shared" si="0"/>
        <v>1.575E-2</v>
      </c>
      <c r="F25" s="1" t="s">
        <v>76</v>
      </c>
      <c r="G25" s="1">
        <v>4000</v>
      </c>
      <c r="H25" s="1" t="s">
        <v>22</v>
      </c>
      <c r="I25" s="1">
        <f>_xlfn.XLOOKUP(F25,A3:A104,D3:D104)</f>
        <v>8.1030000000000005E-2</v>
      </c>
      <c r="J25" s="17">
        <f t="shared" ref="J25:J27" si="34">I25*G25</f>
        <v>324.12</v>
      </c>
      <c r="L25" s="1" t="s">
        <v>64</v>
      </c>
      <c r="M25" s="1">
        <v>413</v>
      </c>
      <c r="N25" s="1" t="s">
        <v>22</v>
      </c>
      <c r="O25" s="1">
        <f t="shared" ref="O25" si="35">_xlfn.XLOOKUP(L25,A10:A126,D10:D126)</f>
        <v>3.7899999999999996E-2</v>
      </c>
      <c r="P25" s="17">
        <f t="shared" si="32"/>
        <v>15.652699999999998</v>
      </c>
      <c r="R25" s="1" t="s">
        <v>34</v>
      </c>
      <c r="S25" s="1">
        <v>225</v>
      </c>
      <c r="T25" s="1" t="s">
        <v>22</v>
      </c>
      <c r="U25" s="1">
        <f>_xlfn.XLOOKUP(R25,A2:A106,D2:D106)</f>
        <v>0.188</v>
      </c>
      <c r="V25" s="17">
        <f>U25*S25</f>
        <v>42.3</v>
      </c>
      <c r="X25" s="1" t="s">
        <v>74</v>
      </c>
      <c r="Y25" s="1">
        <v>125</v>
      </c>
      <c r="Z25" s="1" t="s">
        <v>22</v>
      </c>
      <c r="AA25" s="1">
        <f t="shared" ref="AA25" si="36">_xlfn.XLOOKUP(X25,A23:A128,D22:D127)</f>
        <v>0.81279999999999997</v>
      </c>
      <c r="AB25" s="17">
        <f t="shared" ref="AB25:AB28" si="37">Y25*AA25</f>
        <v>101.6</v>
      </c>
      <c r="AD25" s="1" t="s">
        <v>43</v>
      </c>
      <c r="AE25" s="1"/>
      <c r="AF25" s="1" t="s">
        <v>22</v>
      </c>
      <c r="AG25" s="1"/>
      <c r="AH25" s="1">
        <f>AH24/AE24</f>
        <v>4.2633477887505371E-2</v>
      </c>
      <c r="AJ25" s="1" t="s">
        <v>90</v>
      </c>
      <c r="AK25" s="1">
        <v>60</v>
      </c>
      <c r="AL25" s="1" t="s">
        <v>22</v>
      </c>
      <c r="AM25" s="1">
        <f>_xlfn.XLOOKUP(AJ25,A12:A124,D12:D124)</f>
        <v>0.93</v>
      </c>
      <c r="AN25" s="17">
        <f t="shared" si="33"/>
        <v>55.800000000000004</v>
      </c>
      <c r="AP25" s="8" t="s">
        <v>39</v>
      </c>
      <c r="AQ25" s="8">
        <v>1200</v>
      </c>
      <c r="AR25" s="1" t="s">
        <v>22</v>
      </c>
      <c r="AS25" s="1">
        <f t="shared" si="30"/>
        <v>5.6149999999999999E-2</v>
      </c>
      <c r="AT25" s="17">
        <f t="shared" si="31"/>
        <v>67.38</v>
      </c>
    </row>
    <row r="26" spans="1:46" x14ac:dyDescent="0.2">
      <c r="A26" s="1" t="s">
        <v>91</v>
      </c>
      <c r="B26" s="3">
        <v>49.85</v>
      </c>
      <c r="C26" s="5" t="s">
        <v>12</v>
      </c>
      <c r="D26" s="6">
        <f t="shared" si="0"/>
        <v>4.9849999999999998E-2</v>
      </c>
      <c r="F26" s="1" t="s">
        <v>90</v>
      </c>
      <c r="G26" s="1">
        <v>20</v>
      </c>
      <c r="H26" s="1" t="s">
        <v>22</v>
      </c>
      <c r="I26" s="1">
        <f>_xlfn.XLOOKUP(F26,A4:A105,D4:D105)</f>
        <v>0.93</v>
      </c>
      <c r="J26" s="17">
        <f t="shared" si="34"/>
        <v>18.600000000000001</v>
      </c>
      <c r="L26" s="1" t="s">
        <v>41</v>
      </c>
      <c r="M26" s="1">
        <f>SUM(M23:M25)</f>
        <v>3713</v>
      </c>
      <c r="N26" s="1" t="s">
        <v>22</v>
      </c>
      <c r="O26" s="1"/>
      <c r="P26" s="17">
        <f>SUM(P23:P25)</f>
        <v>936.35270000000003</v>
      </c>
      <c r="R26" s="1" t="s">
        <v>28</v>
      </c>
      <c r="S26" s="1">
        <v>342</v>
      </c>
      <c r="T26" s="1" t="s">
        <v>22</v>
      </c>
      <c r="U26" s="1">
        <f t="shared" ref="U26:U29" si="38">_xlfn.XLOOKUP(R26,A3:A107,D3:D107)</f>
        <v>7.0999999999999994E-2</v>
      </c>
      <c r="V26" s="17">
        <f t="shared" ref="V26:V30" si="39">U26*S26</f>
        <v>24.281999999999996</v>
      </c>
      <c r="X26" s="1" t="s">
        <v>26</v>
      </c>
      <c r="Y26" s="1">
        <v>250</v>
      </c>
      <c r="Z26" s="1" t="s">
        <v>22</v>
      </c>
      <c r="AA26" s="1">
        <f>_xlfn.XLOOKUP(X26,A2:A107,D2:D107)</f>
        <v>1.315E-2</v>
      </c>
      <c r="AB26" s="17">
        <f t="shared" si="37"/>
        <v>3.2875000000000001</v>
      </c>
      <c r="AJ26" s="1" t="s">
        <v>92</v>
      </c>
      <c r="AK26" s="1">
        <v>1500</v>
      </c>
      <c r="AL26" s="1" t="s">
        <v>22</v>
      </c>
      <c r="AM26" s="1">
        <f t="shared" ref="AM26:AM27" si="40">_xlfn.XLOOKUP(AJ26,A13:A125,D13:D125)</f>
        <v>0.13800000000000001</v>
      </c>
      <c r="AN26" s="17">
        <f t="shared" si="33"/>
        <v>207.00000000000003</v>
      </c>
      <c r="AP26" s="8" t="s">
        <v>41</v>
      </c>
      <c r="AQ26" s="8">
        <f>SUM(AQ19:AQ23)</f>
        <v>3786</v>
      </c>
      <c r="AR26" s="8" t="s">
        <v>22</v>
      </c>
      <c r="AS26" s="8"/>
      <c r="AT26" s="18">
        <f>SUM(AT19:AT25)</f>
        <v>352.65</v>
      </c>
    </row>
    <row r="27" spans="1:46" x14ac:dyDescent="0.2">
      <c r="A27" s="1" t="s">
        <v>93</v>
      </c>
      <c r="B27" s="3">
        <v>36.75</v>
      </c>
      <c r="C27" s="5" t="s">
        <v>12</v>
      </c>
      <c r="D27" s="6">
        <f t="shared" si="0"/>
        <v>3.6749999999999998E-2</v>
      </c>
      <c r="F27" s="1" t="s">
        <v>26</v>
      </c>
      <c r="G27" s="1">
        <v>100</v>
      </c>
      <c r="H27" s="1" t="s">
        <v>22</v>
      </c>
      <c r="I27" s="1">
        <f>_xlfn.XLOOKUP(F27,A5:A106,D5:D106)</f>
        <v>1.315E-2</v>
      </c>
      <c r="J27" s="17">
        <f t="shared" si="34"/>
        <v>1.3149999999999999</v>
      </c>
      <c r="L27" s="1" t="s">
        <v>43</v>
      </c>
      <c r="M27" s="1"/>
      <c r="N27" s="1" t="s">
        <v>22</v>
      </c>
      <c r="O27" s="1"/>
      <c r="P27" s="1">
        <f>P26/M26</f>
        <v>0.25218225154861301</v>
      </c>
      <c r="R27" s="1" t="s">
        <v>26</v>
      </c>
      <c r="S27" s="1">
        <v>420</v>
      </c>
      <c r="T27" s="1" t="s">
        <v>22</v>
      </c>
      <c r="U27" s="1">
        <f t="shared" si="38"/>
        <v>1.315E-2</v>
      </c>
      <c r="V27" s="17">
        <f t="shared" si="39"/>
        <v>5.5229999999999997</v>
      </c>
      <c r="X27" s="1" t="s">
        <v>90</v>
      </c>
      <c r="Y27" s="1">
        <v>33</v>
      </c>
      <c r="Z27" s="1" t="s">
        <v>22</v>
      </c>
      <c r="AA27" s="1">
        <f>_xlfn.XLOOKUP(X27,A22:A127,D22:D127)</f>
        <v>0.93</v>
      </c>
      <c r="AB27" s="17">
        <f t="shared" si="37"/>
        <v>30.69</v>
      </c>
      <c r="AD27" s="79" t="s">
        <v>94</v>
      </c>
      <c r="AE27" s="80"/>
      <c r="AF27" s="80"/>
      <c r="AG27" s="80"/>
      <c r="AH27" s="81"/>
      <c r="AJ27" s="1" t="s">
        <v>51</v>
      </c>
      <c r="AK27" s="1">
        <v>120</v>
      </c>
      <c r="AL27" s="1" t="s">
        <v>22</v>
      </c>
      <c r="AM27" s="1">
        <f t="shared" si="40"/>
        <v>9.0999999999999998E-2</v>
      </c>
      <c r="AN27" s="17">
        <f t="shared" si="33"/>
        <v>10.92</v>
      </c>
      <c r="AP27" s="1" t="s">
        <v>43</v>
      </c>
      <c r="AQ27" s="1"/>
      <c r="AR27" s="1"/>
      <c r="AS27" s="1"/>
      <c r="AT27" s="20">
        <f>AT26/AQ26</f>
        <v>9.3145800316957211E-2</v>
      </c>
    </row>
    <row r="28" spans="1:46" x14ac:dyDescent="0.2">
      <c r="A28" s="1" t="s">
        <v>95</v>
      </c>
      <c r="B28" s="3">
        <v>98.75</v>
      </c>
      <c r="C28" s="5" t="s">
        <v>12</v>
      </c>
      <c r="D28" s="6">
        <f t="shared" si="0"/>
        <v>9.8750000000000004E-2</v>
      </c>
      <c r="F28" s="1" t="s">
        <v>41</v>
      </c>
      <c r="G28" s="1">
        <f>SUM(G24:G27)</f>
        <v>6120</v>
      </c>
      <c r="H28" s="1" t="s">
        <v>22</v>
      </c>
      <c r="I28" s="1"/>
      <c r="J28" s="17">
        <f>SUM(J24:J27)</f>
        <v>596.03500000000008</v>
      </c>
      <c r="R28" s="1" t="s">
        <v>35</v>
      </c>
      <c r="S28" s="1">
        <v>312</v>
      </c>
      <c r="T28" s="1" t="s">
        <v>22</v>
      </c>
      <c r="U28" s="1">
        <f t="shared" si="38"/>
        <v>4.9500000000000002E-2</v>
      </c>
      <c r="V28" s="17">
        <f t="shared" si="39"/>
        <v>15.444000000000001</v>
      </c>
      <c r="X28" s="1" t="s">
        <v>44</v>
      </c>
      <c r="Y28" s="8">
        <v>6</v>
      </c>
      <c r="Z28" s="8" t="s">
        <v>22</v>
      </c>
      <c r="AA28" s="1">
        <f t="shared" ref="AA28" si="41">_xlfn.XLOOKUP(X28,A26:A131,D25:D130)</f>
        <v>0.76</v>
      </c>
      <c r="AB28" s="18">
        <f t="shared" si="37"/>
        <v>4.5600000000000005</v>
      </c>
      <c r="AD28" s="1" t="s">
        <v>63</v>
      </c>
      <c r="AE28" s="1">
        <v>3000</v>
      </c>
      <c r="AF28" s="1" t="s">
        <v>22</v>
      </c>
      <c r="AG28" s="1">
        <f>_xlfn.XLOOKUP(AD28,A12:A134,D12:D134)</f>
        <v>0.45400000000000001</v>
      </c>
      <c r="AH28" s="17">
        <f>AE28*AG28</f>
        <v>1362</v>
      </c>
      <c r="AJ28" s="8" t="s">
        <v>41</v>
      </c>
      <c r="AK28" s="8">
        <f>SUM(AK23:AK27)</f>
        <v>2820</v>
      </c>
      <c r="AL28" s="8" t="s">
        <v>22</v>
      </c>
      <c r="AM28" s="8"/>
      <c r="AN28" s="18">
        <f>SUM(AN23:AN27)</f>
        <v>384.62100000000004</v>
      </c>
    </row>
    <row r="29" spans="1:46" x14ac:dyDescent="0.2">
      <c r="A29" s="1" t="s">
        <v>96</v>
      </c>
      <c r="B29" s="3">
        <v>498</v>
      </c>
      <c r="C29" s="5" t="s">
        <v>97</v>
      </c>
      <c r="D29" s="7">
        <f t="shared" si="0"/>
        <v>0.498</v>
      </c>
      <c r="F29" s="1" t="s">
        <v>43</v>
      </c>
      <c r="G29" s="1"/>
      <c r="H29" s="1"/>
      <c r="I29" s="1"/>
      <c r="J29" s="20">
        <f>J28/G28</f>
        <v>9.7391339869281057E-2</v>
      </c>
      <c r="L29" s="89" t="s">
        <v>98</v>
      </c>
      <c r="M29" s="90"/>
      <c r="N29" s="90"/>
      <c r="O29" s="90"/>
      <c r="P29" s="91"/>
      <c r="R29" s="1" t="s">
        <v>68</v>
      </c>
      <c r="S29" s="1">
        <v>435</v>
      </c>
      <c r="T29" s="1" t="s">
        <v>22</v>
      </c>
      <c r="U29" s="1">
        <f t="shared" si="38"/>
        <v>4.4999999999999998E-2</v>
      </c>
      <c r="V29" s="17">
        <f t="shared" si="39"/>
        <v>19.574999999999999</v>
      </c>
      <c r="X29" s="1" t="s">
        <v>41</v>
      </c>
      <c r="Y29" s="1">
        <f>SUM(Y24:Y28)</f>
        <v>5414</v>
      </c>
      <c r="Z29" s="1" t="s">
        <v>22</v>
      </c>
      <c r="AA29" s="1"/>
      <c r="AB29" s="17">
        <f>SUM(AB24:AB28)</f>
        <v>140.13749999999999</v>
      </c>
      <c r="AD29" s="1" t="s">
        <v>41</v>
      </c>
      <c r="AE29" s="1">
        <f>SUM(AE28:AE28)</f>
        <v>3000</v>
      </c>
      <c r="AF29" s="1" t="s">
        <v>22</v>
      </c>
      <c r="AG29" s="1"/>
      <c r="AH29" s="17">
        <f>SUM(AH28:AH28)</f>
        <v>1362</v>
      </c>
      <c r="AJ29" s="1" t="s">
        <v>43</v>
      </c>
      <c r="AK29" s="1"/>
      <c r="AL29" s="1"/>
      <c r="AM29" s="1"/>
      <c r="AN29" s="20">
        <f>AN28/AK28</f>
        <v>0.13639042553191491</v>
      </c>
      <c r="AP29" s="72" t="s">
        <v>99</v>
      </c>
      <c r="AQ29" s="72"/>
      <c r="AR29" s="72"/>
      <c r="AS29" s="72"/>
      <c r="AT29" s="72"/>
    </row>
    <row r="30" spans="1:46" x14ac:dyDescent="0.2">
      <c r="A30" s="1" t="s">
        <v>38</v>
      </c>
      <c r="B30" s="3">
        <v>385</v>
      </c>
      <c r="C30" s="5" t="s">
        <v>12</v>
      </c>
      <c r="D30" s="6">
        <f t="shared" si="0"/>
        <v>0.38500000000000001</v>
      </c>
      <c r="L30" s="1" t="s">
        <v>25</v>
      </c>
      <c r="M30" s="1">
        <v>5500</v>
      </c>
      <c r="N30" s="1" t="s">
        <v>22</v>
      </c>
      <c r="O30" s="1">
        <f>_xlfn.XLOOKUP(L30,A28:A131,D28:D131)</f>
        <v>1.8839999999999999E-2</v>
      </c>
      <c r="P30" s="17">
        <f>M30*O30</f>
        <v>103.61999999999999</v>
      </c>
      <c r="R30" s="1" t="s">
        <v>26</v>
      </c>
      <c r="S30" s="1">
        <v>240</v>
      </c>
      <c r="T30" s="1" t="s">
        <v>22</v>
      </c>
      <c r="U30" s="1">
        <f>_xlfn.XLOOKUP(R30,A2:A111,D2:D111)</f>
        <v>1.315E-2</v>
      </c>
      <c r="V30" s="17">
        <f t="shared" si="39"/>
        <v>3.1560000000000001</v>
      </c>
      <c r="X30" s="1" t="s">
        <v>43</v>
      </c>
      <c r="Y30" s="1"/>
      <c r="Z30" s="1" t="s">
        <v>22</v>
      </c>
      <c r="AA30" s="1"/>
      <c r="AB30" s="1">
        <f>AB29/Y29</f>
        <v>2.5884281492427039E-2</v>
      </c>
      <c r="AD30" s="1" t="s">
        <v>43</v>
      </c>
      <c r="AE30" s="1"/>
      <c r="AF30" s="1" t="s">
        <v>22</v>
      </c>
      <c r="AG30" s="1"/>
      <c r="AH30" s="1">
        <f>AH29/AE29</f>
        <v>0.45400000000000001</v>
      </c>
      <c r="AP30" s="1" t="s">
        <v>77</v>
      </c>
      <c r="AQ30" s="1">
        <v>2000</v>
      </c>
      <c r="AR30" s="1" t="s">
        <v>22</v>
      </c>
      <c r="AS30" s="1">
        <f>_xlfn.XLOOKUP(AP30,A2:A120,D2:D120)</f>
        <v>0.10604000000000001</v>
      </c>
      <c r="AT30" s="17">
        <f>AS30*AQ30</f>
        <v>212.08</v>
      </c>
    </row>
    <row r="31" spans="1:46" x14ac:dyDescent="0.2">
      <c r="A31" s="1" t="s">
        <v>100</v>
      </c>
      <c r="B31" s="3">
        <v>247.35</v>
      </c>
      <c r="C31" s="5" t="s">
        <v>12</v>
      </c>
      <c r="D31" s="6">
        <f t="shared" si="0"/>
        <v>0.24734999999999999</v>
      </c>
      <c r="F31" s="64" t="s">
        <v>101</v>
      </c>
      <c r="G31" s="64"/>
      <c r="H31" s="64"/>
      <c r="I31" s="64"/>
      <c r="J31" s="64"/>
      <c r="L31" s="1" t="s">
        <v>26</v>
      </c>
      <c r="M31" s="1">
        <v>990</v>
      </c>
      <c r="N31" s="1" t="s">
        <v>22</v>
      </c>
      <c r="O31" s="1">
        <f>_xlfn.XLOOKUP(L31,A2:A132,D2:D132)</f>
        <v>1.315E-2</v>
      </c>
      <c r="P31" s="17">
        <f t="shared" ref="P31:P37" si="42">M31*O31</f>
        <v>13.0185</v>
      </c>
      <c r="R31" s="8" t="s">
        <v>41</v>
      </c>
      <c r="S31" s="8">
        <f>SUM(S25:S30)</f>
        <v>1974</v>
      </c>
      <c r="T31" s="8" t="s">
        <v>22</v>
      </c>
      <c r="U31" s="8"/>
      <c r="V31" s="18">
        <f>SUM(V25:V30)</f>
        <v>110.28</v>
      </c>
      <c r="AJ31" s="74" t="s">
        <v>102</v>
      </c>
      <c r="AK31" s="74"/>
      <c r="AL31" s="74"/>
      <c r="AM31" s="74"/>
      <c r="AN31" s="74"/>
      <c r="AP31" s="1" t="s">
        <v>103</v>
      </c>
      <c r="AQ31" s="1">
        <v>400</v>
      </c>
      <c r="AR31" s="1" t="s">
        <v>22</v>
      </c>
      <c r="AS31" s="1">
        <v>9.7799999999999998E-2</v>
      </c>
      <c r="AT31" s="17">
        <f t="shared" ref="AT31:AT32" si="43">AS31*AQ31</f>
        <v>39.119999999999997</v>
      </c>
    </row>
    <row r="32" spans="1:46" x14ac:dyDescent="0.2">
      <c r="A32" s="1" t="s">
        <v>104</v>
      </c>
      <c r="B32" s="3">
        <v>298.3</v>
      </c>
      <c r="C32" s="5" t="s">
        <v>12</v>
      </c>
      <c r="D32" s="6">
        <f t="shared" si="0"/>
        <v>0.29830000000000001</v>
      </c>
      <c r="F32" s="1" t="s">
        <v>68</v>
      </c>
      <c r="G32" s="1">
        <v>1000</v>
      </c>
      <c r="H32" s="1" t="s">
        <v>22</v>
      </c>
      <c r="I32" s="1">
        <f>_xlfn.XLOOKUP(F32,A2:A103,D2:D103)</f>
        <v>4.4999999999999998E-2</v>
      </c>
      <c r="J32" s="17">
        <f>I32*G32</f>
        <v>45</v>
      </c>
      <c r="L32" s="1" t="s">
        <v>34</v>
      </c>
      <c r="M32" s="1">
        <v>990</v>
      </c>
      <c r="N32" s="1" t="s">
        <v>22</v>
      </c>
      <c r="O32" s="1">
        <f t="shared" ref="O32:O37" si="44">_xlfn.XLOOKUP(L32,A3:A133,D3:D133)</f>
        <v>0.188</v>
      </c>
      <c r="P32" s="17">
        <f t="shared" si="42"/>
        <v>186.12</v>
      </c>
      <c r="R32" s="1" t="s">
        <v>43</v>
      </c>
      <c r="S32" s="1"/>
      <c r="T32" s="1"/>
      <c r="U32" s="1"/>
      <c r="V32" s="20">
        <f>V31/S31</f>
        <v>5.5866261398176291E-2</v>
      </c>
      <c r="X32" s="75" t="s">
        <v>15</v>
      </c>
      <c r="Y32" s="76"/>
      <c r="Z32" s="76"/>
      <c r="AA32" s="76"/>
      <c r="AB32" s="77"/>
      <c r="AD32" s="79" t="s">
        <v>57</v>
      </c>
      <c r="AE32" s="80"/>
      <c r="AF32" s="80"/>
      <c r="AG32" s="80"/>
      <c r="AH32" s="81"/>
      <c r="AJ32" s="1" t="s">
        <v>25</v>
      </c>
      <c r="AK32" s="1">
        <v>4617</v>
      </c>
      <c r="AL32" s="1" t="s">
        <v>22</v>
      </c>
      <c r="AM32" s="1">
        <f>_xlfn.XLOOKUP(AJ32,A30:A131,D30:D131)</f>
        <v>1.8839999999999999E-2</v>
      </c>
      <c r="AN32" s="17">
        <f>AM32*AK32</f>
        <v>86.984279999999998</v>
      </c>
      <c r="AP32" s="8" t="s">
        <v>76</v>
      </c>
      <c r="AQ32" s="8">
        <v>88</v>
      </c>
      <c r="AR32" s="1" t="s">
        <v>22</v>
      </c>
      <c r="AS32" s="1">
        <f t="shared" ref="AS32" si="45">_xlfn.XLOOKUP(AP32,A4:A122,D4:D122)</f>
        <v>8.1030000000000005E-2</v>
      </c>
      <c r="AT32" s="17">
        <f t="shared" si="43"/>
        <v>7.1306400000000005</v>
      </c>
    </row>
    <row r="33" spans="1:47" x14ac:dyDescent="0.2">
      <c r="A33" s="1" t="s">
        <v>48</v>
      </c>
      <c r="B33" s="3">
        <v>281.25</v>
      </c>
      <c r="C33" s="5" t="s">
        <v>12</v>
      </c>
      <c r="D33" s="6">
        <f t="shared" si="0"/>
        <v>0.28125</v>
      </c>
      <c r="F33" s="1" t="s">
        <v>26</v>
      </c>
      <c r="G33" s="1">
        <v>2000</v>
      </c>
      <c r="H33" s="1" t="s">
        <v>22</v>
      </c>
      <c r="I33" s="1">
        <f>_xlfn.XLOOKUP(F33,A3:A104,D3:D104)</f>
        <v>1.315E-2</v>
      </c>
      <c r="J33" s="17">
        <f t="shared" ref="J33:J34" si="46">I33*G33</f>
        <v>26.3</v>
      </c>
      <c r="L33" s="1" t="s">
        <v>88</v>
      </c>
      <c r="M33" s="1">
        <v>495</v>
      </c>
      <c r="N33" s="1" t="s">
        <v>22</v>
      </c>
      <c r="O33" s="1">
        <f t="shared" si="44"/>
        <v>0.35039999999999999</v>
      </c>
      <c r="P33" s="17">
        <f t="shared" si="42"/>
        <v>173.44800000000001</v>
      </c>
      <c r="X33" s="1" t="s">
        <v>23</v>
      </c>
      <c r="Y33" s="1">
        <v>1200</v>
      </c>
      <c r="Z33" s="1" t="s">
        <v>22</v>
      </c>
      <c r="AA33" s="1">
        <f>_xlfn.XLOOKUP(X33,A2:A107,D2:D107)</f>
        <v>0</v>
      </c>
      <c r="AB33" s="17">
        <f>Y33*AA33</f>
        <v>0</v>
      </c>
      <c r="AD33" s="1" t="s">
        <v>63</v>
      </c>
      <c r="AE33" s="1">
        <v>10000</v>
      </c>
      <c r="AF33" s="1" t="s">
        <v>22</v>
      </c>
      <c r="AG33" s="1">
        <f>_xlfn.XLOOKUP(AD33,A2:A110,D2:D110)</f>
        <v>0.45400000000000001</v>
      </c>
      <c r="AH33" s="17">
        <f>AE33*AG33</f>
        <v>4540</v>
      </c>
      <c r="AJ33" s="1" t="s">
        <v>29</v>
      </c>
      <c r="AK33" s="1">
        <v>2430</v>
      </c>
      <c r="AL33" s="1" t="s">
        <v>22</v>
      </c>
      <c r="AM33" s="1">
        <f t="shared" ref="AM33" si="47">_xlfn.XLOOKUP(AJ33,A31:A132,D31:D132)</f>
        <v>8.1000000000000003E-2</v>
      </c>
      <c r="AN33" s="17">
        <f t="shared" ref="AN33:AN35" si="48">AM33*AK33</f>
        <v>196.83</v>
      </c>
      <c r="AP33" s="8" t="s">
        <v>41</v>
      </c>
      <c r="AQ33" s="8">
        <f>SUM(AQ30:AQ31)</f>
        <v>2400</v>
      </c>
      <c r="AR33" s="8" t="s">
        <v>22</v>
      </c>
      <c r="AS33" s="8"/>
      <c r="AT33" s="18">
        <f>SUM(AT30:AT31)</f>
        <v>251.20000000000002</v>
      </c>
    </row>
    <row r="34" spans="1:47" x14ac:dyDescent="0.2">
      <c r="A34" s="1" t="s">
        <v>105</v>
      </c>
      <c r="B34" s="3">
        <v>299.16000000000003</v>
      </c>
      <c r="C34" s="5" t="s">
        <v>12</v>
      </c>
      <c r="D34" s="6">
        <f t="shared" si="0"/>
        <v>0.29916000000000004</v>
      </c>
      <c r="F34" s="1" t="s">
        <v>23</v>
      </c>
      <c r="G34" s="1">
        <v>500</v>
      </c>
      <c r="H34" s="1" t="s">
        <v>22</v>
      </c>
      <c r="I34" s="1">
        <f>_xlfn.XLOOKUP(F34,A4:A105,D4:D105)</f>
        <v>0</v>
      </c>
      <c r="J34" s="17">
        <f t="shared" si="46"/>
        <v>0</v>
      </c>
      <c r="L34" s="8" t="s">
        <v>33</v>
      </c>
      <c r="M34" s="8">
        <v>990</v>
      </c>
      <c r="N34" s="8" t="s">
        <v>22</v>
      </c>
      <c r="O34" s="1">
        <f t="shared" si="44"/>
        <v>0.13930000000000001</v>
      </c>
      <c r="P34" s="18">
        <f t="shared" si="42"/>
        <v>137.90700000000001</v>
      </c>
      <c r="R34" s="85" t="s">
        <v>19</v>
      </c>
      <c r="S34" s="85"/>
      <c r="T34" s="85"/>
      <c r="U34" s="85"/>
      <c r="V34" s="85"/>
      <c r="X34" s="1" t="s">
        <v>25</v>
      </c>
      <c r="Y34" s="1">
        <v>1200</v>
      </c>
      <c r="Z34" s="1" t="s">
        <v>22</v>
      </c>
      <c r="AA34" s="1">
        <f t="shared" ref="AA34:AA39" si="49">_xlfn.XLOOKUP(X34,A3:A108,D3:D108)</f>
        <v>1.8839999999999999E-2</v>
      </c>
      <c r="AB34" s="17">
        <f t="shared" ref="AB34:AB39" si="50">Y34*AA34</f>
        <v>22.608000000000001</v>
      </c>
      <c r="AD34" s="1" t="s">
        <v>26</v>
      </c>
      <c r="AE34" s="1">
        <v>4300</v>
      </c>
      <c r="AF34" s="1" t="s">
        <v>22</v>
      </c>
      <c r="AG34" s="1">
        <f>_xlfn.XLOOKUP(AD34,A3:A111,D3:D111)</f>
        <v>1.315E-2</v>
      </c>
      <c r="AH34" s="17">
        <f t="shared" ref="AH34:AH36" si="51">AE34*AG34</f>
        <v>56.545000000000002</v>
      </c>
      <c r="AJ34" s="1" t="s">
        <v>33</v>
      </c>
      <c r="AK34" s="1">
        <v>577</v>
      </c>
      <c r="AL34" s="1" t="s">
        <v>22</v>
      </c>
      <c r="AM34" s="1">
        <f>_xlfn.XLOOKUP(AJ34,A21:A133,D21:D133)</f>
        <v>0.13930000000000001</v>
      </c>
      <c r="AN34" s="17">
        <f t="shared" si="48"/>
        <v>80.376100000000008</v>
      </c>
      <c r="AP34" s="1" t="s">
        <v>43</v>
      </c>
      <c r="AQ34" s="1"/>
      <c r="AR34" s="1"/>
      <c r="AS34" s="1"/>
      <c r="AT34" s="20">
        <f>AT33/AQ33</f>
        <v>0.10466666666666667</v>
      </c>
    </row>
    <row r="35" spans="1:47" ht="27.75" x14ac:dyDescent="0.2">
      <c r="A35" s="2" t="s">
        <v>106</v>
      </c>
      <c r="B35" s="3">
        <v>432.5</v>
      </c>
      <c r="C35" s="5" t="s">
        <v>12</v>
      </c>
      <c r="D35" s="6">
        <f t="shared" si="0"/>
        <v>0.4325</v>
      </c>
      <c r="F35" s="8" t="s">
        <v>41</v>
      </c>
      <c r="G35" s="8">
        <f>SUM(G32:G34)</f>
        <v>3500</v>
      </c>
      <c r="H35" s="8" t="s">
        <v>22</v>
      </c>
      <c r="I35" s="8"/>
      <c r="J35" s="18">
        <f>SUM(J32:J34)</f>
        <v>71.3</v>
      </c>
      <c r="L35" s="1" t="s">
        <v>24</v>
      </c>
      <c r="M35" s="1">
        <v>550</v>
      </c>
      <c r="N35" s="1" t="s">
        <v>22</v>
      </c>
      <c r="O35" s="1">
        <f t="shared" si="44"/>
        <v>7.6060000000000003E-2</v>
      </c>
      <c r="P35" s="18">
        <f t="shared" si="42"/>
        <v>41.832999999999998</v>
      </c>
      <c r="R35" s="1" t="s">
        <v>25</v>
      </c>
      <c r="S35" s="1">
        <v>2250</v>
      </c>
      <c r="T35" s="1" t="s">
        <v>22</v>
      </c>
      <c r="U35" s="1">
        <f>_xlfn.XLOOKUP(R35,A12:A116,D12:D116)</f>
        <v>1.8839999999999999E-2</v>
      </c>
      <c r="V35" s="17">
        <f>U35*S35</f>
        <v>42.39</v>
      </c>
      <c r="X35" s="1" t="s">
        <v>24</v>
      </c>
      <c r="Y35" s="1">
        <v>960</v>
      </c>
      <c r="Z35" s="1" t="s">
        <v>22</v>
      </c>
      <c r="AA35" s="1">
        <f t="shared" si="49"/>
        <v>7.6060000000000003E-2</v>
      </c>
      <c r="AB35" s="17">
        <f t="shared" si="50"/>
        <v>73.017600000000002</v>
      </c>
      <c r="AD35" s="1" t="s">
        <v>64</v>
      </c>
      <c r="AE35" s="1">
        <v>1700</v>
      </c>
      <c r="AF35" s="1" t="s">
        <v>22</v>
      </c>
      <c r="AG35" s="1">
        <f>_xlfn.XLOOKUP(AD35,A4:A112,D4:D112)</f>
        <v>3.7899999999999996E-2</v>
      </c>
      <c r="AH35" s="17">
        <f t="shared" si="51"/>
        <v>64.429999999999993</v>
      </c>
      <c r="AJ35" s="2" t="s">
        <v>66</v>
      </c>
      <c r="AK35" s="1">
        <v>577</v>
      </c>
      <c r="AL35" s="1" t="s">
        <v>22</v>
      </c>
      <c r="AM35" s="1">
        <f t="shared" ref="AM35:AM36" si="52">_xlfn.XLOOKUP(AJ35,A22:A134,D22:D134)</f>
        <v>0.35599999999999998</v>
      </c>
      <c r="AN35" s="17">
        <f t="shared" si="48"/>
        <v>205.41199999999998</v>
      </c>
      <c r="AP35" s="175"/>
      <c r="AQ35" s="175"/>
      <c r="AR35" s="175"/>
      <c r="AS35" s="175"/>
      <c r="AT35" s="178"/>
    </row>
    <row r="36" spans="1:47" x14ac:dyDescent="0.2">
      <c r="A36" s="2" t="s">
        <v>107</v>
      </c>
      <c r="B36" s="3">
        <v>317</v>
      </c>
      <c r="C36" s="5" t="s">
        <v>12</v>
      </c>
      <c r="D36" s="6">
        <f t="shared" si="0"/>
        <v>0.317</v>
      </c>
      <c r="F36" s="1" t="s">
        <v>43</v>
      </c>
      <c r="G36" s="1"/>
      <c r="H36" s="1"/>
      <c r="I36" s="1"/>
      <c r="J36" s="20">
        <f>J35/G35</f>
        <v>2.0371428571428572E-2</v>
      </c>
      <c r="L36" s="1" t="s">
        <v>82</v>
      </c>
      <c r="M36" s="1">
        <v>3095</v>
      </c>
      <c r="N36" s="1" t="s">
        <v>22</v>
      </c>
      <c r="O36" s="1">
        <v>0.28899999999999998</v>
      </c>
      <c r="P36" s="18">
        <f t="shared" si="42"/>
        <v>894.45499999999993</v>
      </c>
      <c r="R36" s="1" t="s">
        <v>29</v>
      </c>
      <c r="S36" s="1">
        <v>225</v>
      </c>
      <c r="T36" s="1" t="s">
        <v>22</v>
      </c>
      <c r="U36" s="1">
        <f t="shared" ref="U36:U39" si="53">_xlfn.XLOOKUP(R36,A13:A117,D13:D117)</f>
        <v>8.1000000000000003E-2</v>
      </c>
      <c r="V36" s="17">
        <f t="shared" ref="V36:V39" si="54">U36*S36</f>
        <v>18.225000000000001</v>
      </c>
      <c r="X36" s="1" t="s">
        <v>26</v>
      </c>
      <c r="Y36" s="1">
        <v>48</v>
      </c>
      <c r="Z36" s="1" t="s">
        <v>22</v>
      </c>
      <c r="AA36" s="1">
        <f t="shared" si="49"/>
        <v>1.315E-2</v>
      </c>
      <c r="AB36" s="17">
        <f t="shared" si="50"/>
        <v>0.63119999999999998</v>
      </c>
      <c r="AD36" s="1" t="s">
        <v>30</v>
      </c>
      <c r="AE36" s="1">
        <v>100</v>
      </c>
      <c r="AF36" s="1" t="s">
        <v>22</v>
      </c>
      <c r="AG36" s="1">
        <f>_xlfn.XLOOKUP(AD36,A5:A113,D5:D113)</f>
        <v>5.2500000000000003E-3</v>
      </c>
      <c r="AH36" s="17">
        <f t="shared" si="51"/>
        <v>0.52500000000000002</v>
      </c>
      <c r="AJ36" s="1" t="s">
        <v>39</v>
      </c>
      <c r="AK36" s="1">
        <v>9234</v>
      </c>
      <c r="AL36" s="1" t="s">
        <v>22</v>
      </c>
      <c r="AM36" s="1">
        <f t="shared" si="52"/>
        <v>5.6149999999999999E-2</v>
      </c>
      <c r="AN36" s="17">
        <f>SUM(AN32:AN35)</f>
        <v>569.60238000000004</v>
      </c>
      <c r="AP36" s="72" t="s">
        <v>775</v>
      </c>
      <c r="AQ36" s="72"/>
      <c r="AR36" s="72"/>
      <c r="AS36" s="72"/>
      <c r="AT36" s="72"/>
    </row>
    <row r="37" spans="1:47" x14ac:dyDescent="0.2">
      <c r="A37" s="2" t="s">
        <v>66</v>
      </c>
      <c r="B37" s="3">
        <v>356</v>
      </c>
      <c r="C37" s="5" t="s">
        <v>12</v>
      </c>
      <c r="D37" s="6">
        <f t="shared" si="0"/>
        <v>0.35599999999999998</v>
      </c>
      <c r="L37" s="1" t="s">
        <v>39</v>
      </c>
      <c r="M37" s="1">
        <v>4070</v>
      </c>
      <c r="N37" s="1" t="s">
        <v>22</v>
      </c>
      <c r="O37" s="1">
        <f t="shared" si="44"/>
        <v>5.6149999999999999E-2</v>
      </c>
      <c r="P37" s="18">
        <f t="shared" si="42"/>
        <v>228.53049999999999</v>
      </c>
      <c r="R37" s="1" t="s">
        <v>33</v>
      </c>
      <c r="S37" s="1">
        <v>315</v>
      </c>
      <c r="T37" s="1" t="s">
        <v>22</v>
      </c>
      <c r="U37" s="1">
        <f t="shared" si="53"/>
        <v>0.13930000000000001</v>
      </c>
      <c r="V37" s="17">
        <f t="shared" si="54"/>
        <v>43.8795</v>
      </c>
      <c r="X37" s="8" t="s">
        <v>30</v>
      </c>
      <c r="Y37" s="8">
        <v>38</v>
      </c>
      <c r="Z37" s="8" t="s">
        <v>22</v>
      </c>
      <c r="AA37" s="1">
        <f t="shared" si="49"/>
        <v>5.2500000000000003E-3</v>
      </c>
      <c r="AB37" s="18">
        <f t="shared" si="50"/>
        <v>0.19950000000000001</v>
      </c>
      <c r="AD37" s="1" t="s">
        <v>41</v>
      </c>
      <c r="AE37" s="1">
        <f>SUM(AE33:AE36)</f>
        <v>16100</v>
      </c>
      <c r="AF37" s="1" t="s">
        <v>22</v>
      </c>
      <c r="AG37" s="1"/>
      <c r="AH37" s="17">
        <f>SUM(AH33:AH36)</f>
        <v>4661.5</v>
      </c>
      <c r="AJ37" s="1" t="s">
        <v>72</v>
      </c>
      <c r="AK37" s="1">
        <v>10</v>
      </c>
      <c r="AL37" s="1" t="s">
        <v>22</v>
      </c>
      <c r="AM37" s="1">
        <f>_xlfn.XLOOKUP(AJ37,A24:A136,D24:D136)</f>
        <v>14.6</v>
      </c>
      <c r="AN37" s="17">
        <f>AM37*AK37</f>
        <v>146</v>
      </c>
      <c r="AP37" s="1" t="s">
        <v>770</v>
      </c>
      <c r="AQ37" s="1">
        <v>120</v>
      </c>
      <c r="AR37" s="1" t="s">
        <v>129</v>
      </c>
      <c r="AS37" s="1" t="s">
        <v>134</v>
      </c>
      <c r="AT37" s="20"/>
    </row>
    <row r="38" spans="1:47" x14ac:dyDescent="0.2">
      <c r="A38" s="2" t="s">
        <v>36</v>
      </c>
      <c r="B38" s="3">
        <v>329</v>
      </c>
      <c r="C38" s="5" t="s">
        <v>12</v>
      </c>
      <c r="D38" s="6">
        <f t="shared" si="0"/>
        <v>0.32900000000000001</v>
      </c>
      <c r="F38" s="64" t="s">
        <v>49</v>
      </c>
      <c r="G38" s="64"/>
      <c r="H38" s="64"/>
      <c r="I38" s="64"/>
      <c r="J38" s="64"/>
      <c r="L38" s="1" t="s">
        <v>41</v>
      </c>
      <c r="M38" s="1">
        <f>SUM(M30:M37)</f>
        <v>16680</v>
      </c>
      <c r="N38" s="1" t="s">
        <v>22</v>
      </c>
      <c r="O38" s="1"/>
      <c r="P38" s="17">
        <f>SUM(P30:P37)</f>
        <v>1778.932</v>
      </c>
      <c r="R38" s="2" t="s">
        <v>36</v>
      </c>
      <c r="S38" s="1">
        <v>2745</v>
      </c>
      <c r="T38" s="1" t="s">
        <v>22</v>
      </c>
      <c r="U38" s="1">
        <f t="shared" si="53"/>
        <v>0.32900000000000001</v>
      </c>
      <c r="V38" s="17">
        <f t="shared" si="54"/>
        <v>903.10500000000002</v>
      </c>
      <c r="X38" s="1" t="s">
        <v>21</v>
      </c>
      <c r="Y38" s="1">
        <v>1440</v>
      </c>
      <c r="Z38" s="1" t="s">
        <v>22</v>
      </c>
      <c r="AA38" s="1">
        <f>_xlfn.XLOOKUP(X38,A2:A112,D2:D112)</f>
        <v>1.159E-2</v>
      </c>
      <c r="AB38" s="18">
        <f t="shared" si="50"/>
        <v>16.689599999999999</v>
      </c>
      <c r="AD38" s="1" t="s">
        <v>43</v>
      </c>
      <c r="AE38" s="1"/>
      <c r="AF38" s="1" t="s">
        <v>22</v>
      </c>
      <c r="AG38" s="1"/>
      <c r="AH38" s="1">
        <f>AH37/AE37</f>
        <v>0.28953416149068323</v>
      </c>
      <c r="AJ38" s="8" t="s">
        <v>41</v>
      </c>
      <c r="AK38" s="8">
        <f>SUM(AK32:AK37)</f>
        <v>17445</v>
      </c>
      <c r="AL38" s="8" t="s">
        <v>22</v>
      </c>
      <c r="AM38" s="8"/>
      <c r="AN38" s="18">
        <f>SUM(AN32:AN37)</f>
        <v>1285.2047600000001</v>
      </c>
      <c r="AP38" s="1" t="s">
        <v>771</v>
      </c>
      <c r="AQ38" s="1">
        <f>AQ37/44</f>
        <v>2.7272727272727271</v>
      </c>
      <c r="AR38" s="1" t="s">
        <v>772</v>
      </c>
      <c r="AS38" s="1" t="s">
        <v>773</v>
      </c>
      <c r="AT38" s="20"/>
    </row>
    <row r="39" spans="1:47" x14ac:dyDescent="0.2">
      <c r="A39" s="2" t="s">
        <v>111</v>
      </c>
      <c r="B39" s="3">
        <v>329.8</v>
      </c>
      <c r="C39" s="5" t="s">
        <v>12</v>
      </c>
      <c r="D39" s="6">
        <f t="shared" si="0"/>
        <v>0.32980000000000004</v>
      </c>
      <c r="F39" s="1" t="s">
        <v>34</v>
      </c>
      <c r="G39" s="1">
        <v>225</v>
      </c>
      <c r="H39" s="1" t="s">
        <v>22</v>
      </c>
      <c r="I39" s="1">
        <f>_xlfn.XLOOKUP(F39,A19:A120,D19:D120)</f>
        <v>0.188</v>
      </c>
      <c r="J39" s="17">
        <f>I39*G39</f>
        <v>42.3</v>
      </c>
      <c r="L39" s="1" t="s">
        <v>43</v>
      </c>
      <c r="M39" s="1"/>
      <c r="N39" s="1" t="s">
        <v>22</v>
      </c>
      <c r="O39" s="1"/>
      <c r="P39" s="1">
        <f>P38/M38</f>
        <v>0.10665059952038369</v>
      </c>
      <c r="R39" s="1" t="s">
        <v>39</v>
      </c>
      <c r="S39" s="1">
        <v>4500</v>
      </c>
      <c r="T39" s="1" t="s">
        <v>22</v>
      </c>
      <c r="U39" s="1">
        <f t="shared" si="53"/>
        <v>5.6149999999999999E-2</v>
      </c>
      <c r="V39" s="17">
        <f t="shared" si="54"/>
        <v>252.67499999999998</v>
      </c>
      <c r="X39" s="1" t="s">
        <v>28</v>
      </c>
      <c r="Y39" s="1">
        <v>2160</v>
      </c>
      <c r="Z39" s="1" t="s">
        <v>22</v>
      </c>
      <c r="AA39" s="1">
        <f t="shared" si="49"/>
        <v>7.0999999999999994E-2</v>
      </c>
      <c r="AB39" s="18">
        <f t="shared" si="50"/>
        <v>153.35999999999999</v>
      </c>
      <c r="AJ39" s="1" t="s">
        <v>43</v>
      </c>
      <c r="AK39" s="1"/>
      <c r="AL39" s="1"/>
      <c r="AM39" s="1"/>
      <c r="AN39" s="20">
        <f>AN38/AK38</f>
        <v>7.3671811980510177E-2</v>
      </c>
    </row>
    <row r="40" spans="1:47" x14ac:dyDescent="0.2">
      <c r="A40" s="1" t="s">
        <v>113</v>
      </c>
      <c r="B40" s="3">
        <v>445.5</v>
      </c>
      <c r="C40" s="5" t="s">
        <v>12</v>
      </c>
      <c r="D40" s="6">
        <f t="shared" si="0"/>
        <v>0.44550000000000001</v>
      </c>
      <c r="F40" s="1" t="s">
        <v>28</v>
      </c>
      <c r="G40" s="1">
        <v>342</v>
      </c>
      <c r="H40" s="1" t="s">
        <v>22</v>
      </c>
      <c r="I40" s="1">
        <f>_xlfn.XLOOKUP(F40,A20:A121,D20:D121)</f>
        <v>7.0999999999999994E-2</v>
      </c>
      <c r="J40" s="17">
        <f t="shared" ref="J40:J44" si="55">I40*G40</f>
        <v>24.281999999999996</v>
      </c>
      <c r="R40" s="8" t="s">
        <v>41</v>
      </c>
      <c r="S40" s="8">
        <f>SUM(S35:S39)</f>
        <v>10035</v>
      </c>
      <c r="T40" s="8" t="s">
        <v>22</v>
      </c>
      <c r="U40" s="8"/>
      <c r="V40" s="18">
        <f>SUM(V35:V39)</f>
        <v>1260.2745</v>
      </c>
      <c r="X40" s="1" t="s">
        <v>41</v>
      </c>
      <c r="Y40" s="1">
        <f>SUM(Y33:Y39)</f>
        <v>7046</v>
      </c>
      <c r="Z40" s="1" t="s">
        <v>22</v>
      </c>
      <c r="AA40" s="1"/>
      <c r="AB40" s="17">
        <f>SUM(AB33:AB39)</f>
        <v>266.5059</v>
      </c>
      <c r="AD40" s="79" t="s">
        <v>114</v>
      </c>
      <c r="AE40" s="80"/>
      <c r="AF40" s="80"/>
      <c r="AG40" s="80"/>
      <c r="AH40" s="81"/>
      <c r="AP40" s="65" t="s">
        <v>108</v>
      </c>
      <c r="AQ40" s="66"/>
      <c r="AR40" s="66"/>
      <c r="AS40" s="66"/>
      <c r="AT40" s="67"/>
    </row>
    <row r="41" spans="1:47" x14ac:dyDescent="0.2">
      <c r="A41" s="1" t="s">
        <v>115</v>
      </c>
      <c r="B41" s="3">
        <v>24.09</v>
      </c>
      <c r="C41" s="5" t="s">
        <v>12</v>
      </c>
      <c r="D41" s="6">
        <f t="shared" si="0"/>
        <v>2.409E-2</v>
      </c>
      <c r="F41" s="1" t="s">
        <v>26</v>
      </c>
      <c r="G41" s="1">
        <v>420</v>
      </c>
      <c r="H41" s="1" t="s">
        <v>22</v>
      </c>
      <c r="I41" s="1">
        <f>_xlfn.XLOOKUP(F41,A2:A122,D2:D122)</f>
        <v>1.315E-2</v>
      </c>
      <c r="J41" s="17">
        <f t="shared" si="55"/>
        <v>5.5229999999999997</v>
      </c>
      <c r="L41" s="89" t="s">
        <v>116</v>
      </c>
      <c r="M41" s="90"/>
      <c r="N41" s="90"/>
      <c r="O41" s="90"/>
      <c r="P41" s="91"/>
      <c r="R41" s="1" t="s">
        <v>43</v>
      </c>
      <c r="S41" s="1"/>
      <c r="T41" s="1"/>
      <c r="U41" s="1"/>
      <c r="V41" s="20">
        <f>V40/S40</f>
        <v>0.12558789237668161</v>
      </c>
      <c r="X41" s="1" t="s">
        <v>43</v>
      </c>
      <c r="Y41" s="1"/>
      <c r="Z41" s="1" t="s">
        <v>22</v>
      </c>
      <c r="AA41" s="1"/>
      <c r="AB41" s="1">
        <f>AB40/Y40</f>
        <v>3.7823715583309679E-2</v>
      </c>
      <c r="AD41" s="1" t="s">
        <v>117</v>
      </c>
      <c r="AE41" s="1">
        <v>75</v>
      </c>
      <c r="AF41" s="1" t="s">
        <v>22</v>
      </c>
      <c r="AG41" s="20">
        <v>7.5600000000000001E-2</v>
      </c>
      <c r="AH41" s="17">
        <f>AG41*AE41</f>
        <v>5.67</v>
      </c>
      <c r="AJ41" s="74" t="s">
        <v>118</v>
      </c>
      <c r="AK41" s="74"/>
      <c r="AL41" s="74"/>
      <c r="AM41" s="74"/>
      <c r="AN41" s="74"/>
      <c r="AP41" s="1" t="s">
        <v>109</v>
      </c>
      <c r="AQ41" s="1">
        <v>290</v>
      </c>
      <c r="AR41" s="1" t="s">
        <v>22</v>
      </c>
      <c r="AS41" s="20">
        <v>2.3E-2</v>
      </c>
      <c r="AT41" s="17">
        <f>AS41*AQ41</f>
        <v>6.67</v>
      </c>
    </row>
    <row r="42" spans="1:47" x14ac:dyDescent="0.2">
      <c r="A42" s="1" t="s">
        <v>120</v>
      </c>
      <c r="B42" s="3">
        <v>41.4</v>
      </c>
      <c r="C42" s="5" t="s">
        <v>12</v>
      </c>
      <c r="D42" s="6">
        <f t="shared" si="0"/>
        <v>4.1399999999999999E-2</v>
      </c>
      <c r="F42" s="1" t="s">
        <v>35</v>
      </c>
      <c r="G42" s="1">
        <v>312</v>
      </c>
      <c r="H42" s="1" t="s">
        <v>22</v>
      </c>
      <c r="I42" s="1">
        <f>_xlfn.XLOOKUP(F42,A3:A123,D3:D123)</f>
        <v>4.9500000000000002E-2</v>
      </c>
      <c r="J42" s="17">
        <f t="shared" si="55"/>
        <v>15.444000000000001</v>
      </c>
      <c r="L42" s="1" t="s">
        <v>82</v>
      </c>
      <c r="M42" s="1">
        <v>1000</v>
      </c>
      <c r="N42" s="1" t="s">
        <v>22</v>
      </c>
      <c r="O42" s="1">
        <v>0.28899999999999998</v>
      </c>
      <c r="P42" s="17">
        <f>M42*O42</f>
        <v>289</v>
      </c>
      <c r="AD42" s="1" t="s">
        <v>121</v>
      </c>
      <c r="AE42" s="1">
        <v>20</v>
      </c>
      <c r="AF42" s="1" t="s">
        <v>22</v>
      </c>
      <c r="AG42" s="1">
        <v>4.2599999999999999E-2</v>
      </c>
      <c r="AH42" s="17">
        <f t="shared" ref="AH42:AH45" si="56">AG42*AE42</f>
        <v>0.85199999999999998</v>
      </c>
      <c r="AJ42" s="1" t="s">
        <v>84</v>
      </c>
      <c r="AK42" s="1">
        <v>2000</v>
      </c>
      <c r="AL42" s="1" t="s">
        <v>22</v>
      </c>
      <c r="AM42" s="1">
        <f>_xlfn.XLOOKUP(AJ42,A2:A110,D2:D110)</f>
        <v>0.17299999999999999</v>
      </c>
      <c r="AN42" s="17">
        <f>AM42*AK42</f>
        <v>346</v>
      </c>
      <c r="AP42" s="1" t="s">
        <v>110</v>
      </c>
      <c r="AQ42" s="1">
        <v>1724</v>
      </c>
      <c r="AR42" s="1" t="s">
        <v>22</v>
      </c>
      <c r="AS42" s="1">
        <v>9.2999999999999999E-2</v>
      </c>
      <c r="AT42" s="17">
        <f t="shared" ref="AT42:AT45" si="57">AS42*AQ42</f>
        <v>160.33199999999999</v>
      </c>
    </row>
    <row r="43" spans="1:47" x14ac:dyDescent="0.2">
      <c r="A43" s="1" t="s">
        <v>122</v>
      </c>
      <c r="B43" s="3">
        <v>63.2</v>
      </c>
      <c r="C43" s="5" t="s">
        <v>12</v>
      </c>
      <c r="D43" s="6">
        <f t="shared" si="0"/>
        <v>6.3200000000000006E-2</v>
      </c>
      <c r="F43" s="1" t="s">
        <v>68</v>
      </c>
      <c r="G43" s="1">
        <v>435</v>
      </c>
      <c r="H43" s="1" t="s">
        <v>22</v>
      </c>
      <c r="I43" s="1">
        <f>_xlfn.XLOOKUP(F43,A4:A124,D4:D124)</f>
        <v>4.4999999999999998E-2</v>
      </c>
      <c r="J43" s="17">
        <f t="shared" si="55"/>
        <v>19.574999999999999</v>
      </c>
      <c r="L43" s="1" t="s">
        <v>76</v>
      </c>
      <c r="M43" s="1">
        <v>3000</v>
      </c>
      <c r="N43" s="1" t="s">
        <v>22</v>
      </c>
      <c r="O43" s="1">
        <f>_xlfn.XLOOKUP(L43,A21:A144,D21:D144)</f>
        <v>8.1030000000000005E-2</v>
      </c>
      <c r="P43" s="17">
        <f t="shared" ref="P43" si="58">M43*O43</f>
        <v>243.09</v>
      </c>
      <c r="R43" s="82" t="s">
        <v>123</v>
      </c>
      <c r="S43" s="83"/>
      <c r="T43" s="83"/>
      <c r="U43" s="83"/>
      <c r="V43" s="84"/>
      <c r="X43" s="62" t="s">
        <v>124</v>
      </c>
      <c r="Y43" s="62"/>
      <c r="Z43" s="62"/>
      <c r="AA43" s="62"/>
      <c r="AB43" s="62"/>
      <c r="AD43" s="1" t="s">
        <v>94</v>
      </c>
      <c r="AE43" s="1">
        <v>10</v>
      </c>
      <c r="AF43" s="1" t="s">
        <v>22</v>
      </c>
      <c r="AG43" s="1">
        <v>0.45400000000000001</v>
      </c>
      <c r="AH43" s="17">
        <f t="shared" si="56"/>
        <v>4.54</v>
      </c>
      <c r="AJ43" s="1" t="s">
        <v>76</v>
      </c>
      <c r="AK43" s="1">
        <v>4000</v>
      </c>
      <c r="AL43" s="1" t="s">
        <v>22</v>
      </c>
      <c r="AM43" s="1">
        <f t="shared" ref="AM43:AM45" si="59">_xlfn.XLOOKUP(AJ43,A3:A111,D3:D111)</f>
        <v>8.1030000000000005E-2</v>
      </c>
      <c r="AN43" s="17">
        <f t="shared" ref="AN43:AN45" si="60">AM43*AK43</f>
        <v>324.12</v>
      </c>
      <c r="AP43" s="1" t="s">
        <v>112</v>
      </c>
      <c r="AQ43" s="1">
        <v>318</v>
      </c>
      <c r="AR43" s="1" t="s">
        <v>22</v>
      </c>
      <c r="AS43" s="1">
        <v>0.106</v>
      </c>
      <c r="AT43" s="17">
        <f t="shared" si="57"/>
        <v>33.707999999999998</v>
      </c>
    </row>
    <row r="44" spans="1:47" x14ac:dyDescent="0.2">
      <c r="A44" s="1" t="s">
        <v>126</v>
      </c>
      <c r="B44" s="3">
        <v>173.49</v>
      </c>
      <c r="C44" s="5" t="s">
        <v>12</v>
      </c>
      <c r="D44" s="6">
        <f t="shared" si="0"/>
        <v>0.17349000000000001</v>
      </c>
      <c r="F44" s="1" t="s">
        <v>26</v>
      </c>
      <c r="G44" s="1">
        <v>240</v>
      </c>
      <c r="H44" s="1" t="s">
        <v>22</v>
      </c>
      <c r="I44" s="1">
        <f>_xlfn.XLOOKUP(F44,A5:A125,D5:D125)</f>
        <v>1.315E-2</v>
      </c>
      <c r="J44" s="17">
        <f t="shared" si="55"/>
        <v>3.1560000000000001</v>
      </c>
      <c r="L44" s="1" t="s">
        <v>41</v>
      </c>
      <c r="M44" s="1">
        <f>SUM(M42:M43)</f>
        <v>4000</v>
      </c>
      <c r="N44" s="1" t="s">
        <v>22</v>
      </c>
      <c r="O44" s="1"/>
      <c r="P44" s="17">
        <f>SUM(P42:P43)</f>
        <v>532.09</v>
      </c>
      <c r="R44" s="1" t="s">
        <v>23</v>
      </c>
      <c r="S44" s="1">
        <v>223</v>
      </c>
      <c r="T44" s="1" t="s">
        <v>22</v>
      </c>
      <c r="U44" s="1">
        <f>_xlfn.XLOOKUP(R44,A1:A146,D1:D146)</f>
        <v>0</v>
      </c>
      <c r="V44" s="17">
        <f>S44*U44</f>
        <v>0</v>
      </c>
      <c r="X44" s="1" t="s">
        <v>25</v>
      </c>
      <c r="Y44" s="1">
        <v>1000</v>
      </c>
      <c r="Z44" s="1" t="s">
        <v>22</v>
      </c>
      <c r="AA44" s="1">
        <f>_xlfn.XLOOKUP(X44,A2:A107,D2:D107)</f>
        <v>1.8839999999999999E-2</v>
      </c>
      <c r="AB44" s="17">
        <f>AA44*Y44</f>
        <v>18.84</v>
      </c>
      <c r="AD44" s="1" t="s">
        <v>82</v>
      </c>
      <c r="AE44" s="1">
        <v>12</v>
      </c>
      <c r="AF44" s="1" t="s">
        <v>22</v>
      </c>
      <c r="AG44" s="1">
        <v>0.28899999999999998</v>
      </c>
      <c r="AH44" s="17">
        <f t="shared" si="56"/>
        <v>3.468</v>
      </c>
      <c r="AJ44" s="1" t="s">
        <v>90</v>
      </c>
      <c r="AK44" s="1">
        <v>20</v>
      </c>
      <c r="AL44" s="1" t="s">
        <v>22</v>
      </c>
      <c r="AM44" s="1">
        <f t="shared" si="59"/>
        <v>0.93</v>
      </c>
      <c r="AN44" s="17">
        <f t="shared" si="60"/>
        <v>18.600000000000001</v>
      </c>
      <c r="AP44" s="1" t="s">
        <v>103</v>
      </c>
      <c r="AQ44" s="1">
        <v>11</v>
      </c>
      <c r="AR44" s="1" t="s">
        <v>22</v>
      </c>
      <c r="AS44" s="1">
        <v>9.7799999999999998E-2</v>
      </c>
      <c r="AT44" s="17">
        <f t="shared" si="57"/>
        <v>1.0758000000000001</v>
      </c>
    </row>
    <row r="45" spans="1:47" x14ac:dyDescent="0.2">
      <c r="A45" s="1" t="s">
        <v>29</v>
      </c>
      <c r="B45" s="3">
        <v>81</v>
      </c>
      <c r="C45" s="5" t="s">
        <v>12</v>
      </c>
      <c r="D45" s="6">
        <f t="shared" si="0"/>
        <v>8.1000000000000003E-2</v>
      </c>
      <c r="F45" s="8" t="s">
        <v>41</v>
      </c>
      <c r="G45" s="8">
        <f>SUM(G39:G44)</f>
        <v>1974</v>
      </c>
      <c r="H45" s="8" t="s">
        <v>22</v>
      </c>
      <c r="I45" s="8"/>
      <c r="J45" s="18">
        <f>SUM(J39:J44)</f>
        <v>110.28</v>
      </c>
      <c r="L45" s="1" t="s">
        <v>43</v>
      </c>
      <c r="M45" s="1"/>
      <c r="N45" s="1" t="s">
        <v>22</v>
      </c>
      <c r="O45" s="1"/>
      <c r="P45" s="1">
        <f>P44/M44</f>
        <v>0.13302250000000002</v>
      </c>
      <c r="R45" s="1" t="s">
        <v>26</v>
      </c>
      <c r="S45" s="1">
        <v>543</v>
      </c>
      <c r="T45" s="1" t="s">
        <v>22</v>
      </c>
      <c r="U45" s="1">
        <f t="shared" ref="U45:U51" si="61">_xlfn.XLOOKUP(R45,A2:A147,D2:D147)</f>
        <v>1.315E-2</v>
      </c>
      <c r="V45" s="17">
        <f t="shared" ref="V45:V53" si="62">S45*U45</f>
        <v>7.1404500000000004</v>
      </c>
      <c r="X45" s="1" t="s">
        <v>29</v>
      </c>
      <c r="Y45" s="1">
        <v>50</v>
      </c>
      <c r="Z45" s="1" t="s">
        <v>22</v>
      </c>
      <c r="AA45" s="1">
        <f t="shared" ref="AA45:AA48" si="63">_xlfn.XLOOKUP(X45,A3:A108,D3:D108)</f>
        <v>8.1000000000000003E-2</v>
      </c>
      <c r="AB45" s="17">
        <f t="shared" ref="AB45:AB48" si="64">AA45*Y45</f>
        <v>4.05</v>
      </c>
      <c r="AD45" s="1" t="s">
        <v>53</v>
      </c>
      <c r="AE45" s="1">
        <v>0.7</v>
      </c>
      <c r="AF45" s="1" t="s">
        <v>22</v>
      </c>
      <c r="AG45" s="1">
        <v>0.51200000000000001</v>
      </c>
      <c r="AH45" s="17">
        <f t="shared" si="56"/>
        <v>0.3584</v>
      </c>
      <c r="AJ45" s="1" t="s">
        <v>26</v>
      </c>
      <c r="AK45" s="1">
        <v>100</v>
      </c>
      <c r="AL45" s="1" t="s">
        <v>22</v>
      </c>
      <c r="AM45" s="1">
        <f t="shared" si="59"/>
        <v>1.315E-2</v>
      </c>
      <c r="AN45" s="17">
        <f t="shared" si="60"/>
        <v>1.3149999999999999</v>
      </c>
      <c r="AP45" s="1" t="s">
        <v>119</v>
      </c>
      <c r="AQ45" s="1">
        <v>10</v>
      </c>
      <c r="AR45" s="1" t="s">
        <v>22</v>
      </c>
      <c r="AS45" s="1">
        <v>8.1030000000000005E-2</v>
      </c>
      <c r="AT45" s="17">
        <f t="shared" si="57"/>
        <v>0.81030000000000002</v>
      </c>
    </row>
    <row r="46" spans="1:47" x14ac:dyDescent="0.2">
      <c r="A46" s="1" t="s">
        <v>90</v>
      </c>
      <c r="B46" s="3">
        <v>930</v>
      </c>
      <c r="C46" s="5" t="s">
        <v>12</v>
      </c>
      <c r="D46" s="6">
        <f t="shared" si="0"/>
        <v>0.93</v>
      </c>
      <c r="F46" s="1" t="s">
        <v>43</v>
      </c>
      <c r="G46" s="1"/>
      <c r="H46" s="1"/>
      <c r="I46" s="1"/>
      <c r="J46" s="20">
        <f>J45/G45</f>
        <v>5.5866261398176291E-2</v>
      </c>
      <c r="R46" s="1" t="s">
        <v>29</v>
      </c>
      <c r="S46" s="1">
        <v>543</v>
      </c>
      <c r="T46" s="1" t="s">
        <v>22</v>
      </c>
      <c r="U46" s="1">
        <f t="shared" si="61"/>
        <v>8.1000000000000003E-2</v>
      </c>
      <c r="V46" s="17">
        <f t="shared" si="62"/>
        <v>43.983000000000004</v>
      </c>
      <c r="X46" s="1" t="s">
        <v>33</v>
      </c>
      <c r="Y46" s="1">
        <v>150</v>
      </c>
      <c r="Z46" s="1" t="s">
        <v>22</v>
      </c>
      <c r="AA46" s="1">
        <f t="shared" si="63"/>
        <v>0.13930000000000001</v>
      </c>
      <c r="AB46" s="17">
        <f t="shared" si="64"/>
        <v>20.895</v>
      </c>
      <c r="AD46" s="1" t="s">
        <v>41</v>
      </c>
      <c r="AE46" s="1"/>
      <c r="AF46" s="1"/>
      <c r="AG46" s="1"/>
      <c r="AH46" s="21">
        <f>SUM(AH41:AH45)</f>
        <v>14.888400000000001</v>
      </c>
      <c r="AJ46" s="1" t="s">
        <v>41</v>
      </c>
      <c r="AK46" s="1">
        <f>SUM(AK42:AK45)</f>
        <v>6120</v>
      </c>
      <c r="AL46" s="1" t="s">
        <v>22</v>
      </c>
      <c r="AM46" s="1"/>
      <c r="AN46" s="17">
        <f>SUM(AN42:AN45)</f>
        <v>690.03500000000008</v>
      </c>
      <c r="AP46" s="8" t="s">
        <v>41</v>
      </c>
      <c r="AQ46" s="8">
        <f>SUM(AQ41:AQ45)</f>
        <v>2353</v>
      </c>
      <c r="AR46" s="8" t="s">
        <v>22</v>
      </c>
      <c r="AS46" s="8"/>
      <c r="AT46" s="25">
        <f>SUM(AT41:AT45)</f>
        <v>202.59609999999998</v>
      </c>
      <c r="AU46" t="s">
        <v>702</v>
      </c>
    </row>
    <row r="47" spans="1:47" x14ac:dyDescent="0.2">
      <c r="A47" s="1" t="s">
        <v>130</v>
      </c>
      <c r="B47" s="3">
        <v>750</v>
      </c>
      <c r="C47" s="5" t="s">
        <v>12</v>
      </c>
      <c r="D47" s="6">
        <f t="shared" si="0"/>
        <v>0.75</v>
      </c>
      <c r="L47" s="89" t="s">
        <v>131</v>
      </c>
      <c r="M47" s="90"/>
      <c r="N47" s="90"/>
      <c r="O47" s="90"/>
      <c r="P47" s="91"/>
      <c r="R47" s="1" t="s">
        <v>132</v>
      </c>
      <c r="S47" s="1">
        <v>363</v>
      </c>
      <c r="T47" s="1" t="s">
        <v>22</v>
      </c>
      <c r="U47" s="1">
        <f t="shared" si="61"/>
        <v>0</v>
      </c>
      <c r="V47" s="17">
        <f t="shared" si="62"/>
        <v>0</v>
      </c>
      <c r="X47" s="2" t="s">
        <v>111</v>
      </c>
      <c r="Y47" s="1">
        <v>1750</v>
      </c>
      <c r="Z47" s="1" t="s">
        <v>22</v>
      </c>
      <c r="AA47" s="1">
        <f t="shared" si="63"/>
        <v>0.32980000000000004</v>
      </c>
      <c r="AB47" s="17">
        <f t="shared" si="64"/>
        <v>577.15000000000009</v>
      </c>
      <c r="AJ47" s="1" t="s">
        <v>43</v>
      </c>
      <c r="AK47" s="1"/>
      <c r="AL47" s="1"/>
      <c r="AM47" s="1"/>
      <c r="AN47" s="20">
        <f>AN46/AK46</f>
        <v>0.11275081699346406</v>
      </c>
      <c r="AP47" s="1" t="s">
        <v>125</v>
      </c>
      <c r="AQ47" s="1">
        <v>10</v>
      </c>
      <c r="AR47" s="1" t="s">
        <v>73</v>
      </c>
      <c r="AS47" s="1"/>
      <c r="AT47" s="21">
        <f>AT46/AQ47</f>
        <v>20.259609999999999</v>
      </c>
    </row>
    <row r="48" spans="1:47" x14ac:dyDescent="0.2">
      <c r="A48" s="1" t="s">
        <v>135</v>
      </c>
      <c r="B48" s="3">
        <v>1224</v>
      </c>
      <c r="C48" s="5" t="s">
        <v>12</v>
      </c>
      <c r="D48" s="6">
        <f t="shared" si="0"/>
        <v>1.224</v>
      </c>
      <c r="F48" s="64" t="s">
        <v>136</v>
      </c>
      <c r="G48" s="64"/>
      <c r="H48" s="64"/>
      <c r="I48" s="64"/>
      <c r="J48" s="64"/>
      <c r="L48" s="1" t="s">
        <v>137</v>
      </c>
      <c r="M48" s="1">
        <v>1000</v>
      </c>
      <c r="N48" s="1" t="s">
        <v>22</v>
      </c>
      <c r="O48" s="1">
        <f>_xlfn.XLOOKUP(L48,A19:A149,D19:D149)</f>
        <v>0.61099999999999999</v>
      </c>
      <c r="P48" s="17">
        <f>M48*O48</f>
        <v>611</v>
      </c>
      <c r="R48" s="8" t="s">
        <v>33</v>
      </c>
      <c r="S48" s="8">
        <v>288</v>
      </c>
      <c r="T48" s="8" t="s">
        <v>22</v>
      </c>
      <c r="U48" s="1">
        <f t="shared" si="61"/>
        <v>0.13930000000000001</v>
      </c>
      <c r="V48" s="18">
        <f t="shared" si="62"/>
        <v>40.118400000000001</v>
      </c>
      <c r="X48" s="1" t="s">
        <v>39</v>
      </c>
      <c r="Y48" s="1">
        <v>2000</v>
      </c>
      <c r="Z48" s="1" t="s">
        <v>22</v>
      </c>
      <c r="AA48" s="1">
        <f t="shared" si="63"/>
        <v>5.6149999999999999E-2</v>
      </c>
      <c r="AB48" s="17">
        <f t="shared" si="64"/>
        <v>112.3</v>
      </c>
      <c r="AD48" s="79" t="s">
        <v>138</v>
      </c>
      <c r="AE48" s="80"/>
      <c r="AF48" s="80"/>
      <c r="AG48" s="80"/>
      <c r="AH48" s="81"/>
    </row>
    <row r="49" spans="1:46" x14ac:dyDescent="0.2">
      <c r="A49" s="1" t="s">
        <v>140</v>
      </c>
      <c r="B49" s="3">
        <v>760</v>
      </c>
      <c r="C49" s="5" t="s">
        <v>12</v>
      </c>
      <c r="D49" s="6">
        <f t="shared" si="0"/>
        <v>0.76</v>
      </c>
      <c r="F49" s="1" t="s">
        <v>141</v>
      </c>
      <c r="G49" s="1">
        <v>25</v>
      </c>
      <c r="H49" s="1" t="s">
        <v>22</v>
      </c>
      <c r="I49" s="20">
        <v>4.3999999999999997E-2</v>
      </c>
      <c r="J49" s="17">
        <f>I49*G49</f>
        <v>1.0999999999999999</v>
      </c>
      <c r="L49" s="1" t="s">
        <v>41</v>
      </c>
      <c r="M49" s="1">
        <f>SUM(M48:M48)</f>
        <v>1000</v>
      </c>
      <c r="N49" s="1" t="s">
        <v>22</v>
      </c>
      <c r="O49" s="1"/>
      <c r="P49" s="17">
        <f>SUM(P48:P48)</f>
        <v>611</v>
      </c>
      <c r="R49" s="2" t="s">
        <v>36</v>
      </c>
      <c r="S49" s="1">
        <v>453</v>
      </c>
      <c r="T49" s="1" t="s">
        <v>22</v>
      </c>
      <c r="U49" s="1">
        <f t="shared" si="61"/>
        <v>0.32900000000000001</v>
      </c>
      <c r="V49" s="18">
        <f t="shared" si="62"/>
        <v>149.03700000000001</v>
      </c>
      <c r="X49" s="8" t="s">
        <v>41</v>
      </c>
      <c r="Y49" s="8">
        <f>SUM(Y44:Y48)</f>
        <v>4950</v>
      </c>
      <c r="Z49" s="8" t="s">
        <v>22</v>
      </c>
      <c r="AA49" s="8"/>
      <c r="AB49" s="18">
        <f>SUM(AB44:AB48)</f>
        <v>733.23500000000001</v>
      </c>
      <c r="AD49" s="1" t="s">
        <v>117</v>
      </c>
      <c r="AE49" s="1">
        <v>21</v>
      </c>
      <c r="AF49" s="1" t="s">
        <v>22</v>
      </c>
      <c r="AG49" s="20">
        <v>7.5600000000000001E-2</v>
      </c>
      <c r="AH49" s="17">
        <f>AG49*AE49</f>
        <v>1.5876000000000001</v>
      </c>
      <c r="AJ49" s="74" t="s">
        <v>142</v>
      </c>
      <c r="AK49" s="74"/>
      <c r="AL49" s="74"/>
      <c r="AM49" s="74"/>
      <c r="AN49" s="74"/>
      <c r="AP49" s="68" t="s">
        <v>127</v>
      </c>
      <c r="AQ49" s="69"/>
      <c r="AR49" s="69"/>
      <c r="AS49" s="69"/>
      <c r="AT49" s="70"/>
    </row>
    <row r="50" spans="1:46" x14ac:dyDescent="0.2">
      <c r="A50" s="1" t="s">
        <v>44</v>
      </c>
      <c r="B50" s="3">
        <v>658</v>
      </c>
      <c r="C50" s="5" t="s">
        <v>12</v>
      </c>
      <c r="D50" s="6">
        <f t="shared" si="0"/>
        <v>0.65800000000000003</v>
      </c>
      <c r="F50" s="1" t="s">
        <v>144</v>
      </c>
      <c r="G50" s="1">
        <v>40</v>
      </c>
      <c r="H50" s="1" t="s">
        <v>22</v>
      </c>
      <c r="I50" s="1">
        <v>6.6000000000000003E-2</v>
      </c>
      <c r="J50" s="17">
        <f t="shared" ref="J50:J53" si="65">I50*G50</f>
        <v>2.64</v>
      </c>
      <c r="L50" s="1" t="s">
        <v>43</v>
      </c>
      <c r="M50" s="1"/>
      <c r="N50" s="1" t="s">
        <v>22</v>
      </c>
      <c r="O50" s="1"/>
      <c r="P50" s="1">
        <f>P49/M49</f>
        <v>0.61099999999999999</v>
      </c>
      <c r="R50" s="1" t="s">
        <v>38</v>
      </c>
      <c r="S50" s="1">
        <v>21</v>
      </c>
      <c r="T50" s="1" t="s">
        <v>22</v>
      </c>
      <c r="U50" s="1">
        <f t="shared" si="61"/>
        <v>0.38500000000000001</v>
      </c>
      <c r="V50" s="18">
        <f t="shared" si="62"/>
        <v>8.0850000000000009</v>
      </c>
      <c r="X50" s="1" t="s">
        <v>43</v>
      </c>
      <c r="Y50" s="1"/>
      <c r="Z50" s="1"/>
      <c r="AA50" s="1"/>
      <c r="AB50" s="20">
        <f>AB49/Y49</f>
        <v>0.14812828282828283</v>
      </c>
      <c r="AD50" s="1" t="s">
        <v>121</v>
      </c>
      <c r="AE50" s="1">
        <v>4</v>
      </c>
      <c r="AF50" s="1" t="s">
        <v>22</v>
      </c>
      <c r="AG50" s="1">
        <v>4.2599999999999999E-2</v>
      </c>
      <c r="AH50" s="17">
        <f t="shared" ref="AH50:AH53" si="66">AG50*AE50</f>
        <v>0.1704</v>
      </c>
      <c r="AJ50" s="2" t="s">
        <v>36</v>
      </c>
      <c r="AK50" s="1">
        <v>2000</v>
      </c>
      <c r="AL50" s="1" t="s">
        <v>22</v>
      </c>
      <c r="AM50" s="1">
        <f>_xlfn.XLOOKUP(AJ50,A10:A118,D10:D118)</f>
        <v>0.32900000000000001</v>
      </c>
      <c r="AN50" s="17">
        <f>AM50*AK50</f>
        <v>658</v>
      </c>
      <c r="AP50" s="179" t="s">
        <v>128</v>
      </c>
      <c r="AQ50" s="179">
        <f>AQ38*3</f>
        <v>8.1818181818181817</v>
      </c>
      <c r="AR50" s="179" t="s">
        <v>129</v>
      </c>
      <c r="AS50" s="180" t="s">
        <v>774</v>
      </c>
      <c r="AT50" s="181"/>
    </row>
    <row r="51" spans="1:46" x14ac:dyDescent="0.2">
      <c r="A51" s="1" t="s">
        <v>145</v>
      </c>
      <c r="B51" s="3">
        <v>836</v>
      </c>
      <c r="C51" s="5" t="s">
        <v>12</v>
      </c>
      <c r="D51" s="6">
        <f t="shared" si="0"/>
        <v>0.83599999999999997</v>
      </c>
      <c r="F51" s="1" t="s">
        <v>146</v>
      </c>
      <c r="G51" s="1">
        <v>20</v>
      </c>
      <c r="H51" s="1" t="s">
        <v>22</v>
      </c>
      <c r="I51" s="1">
        <v>9.7000000000000003E-2</v>
      </c>
      <c r="J51" s="17">
        <f t="shared" si="65"/>
        <v>1.94</v>
      </c>
      <c r="R51" s="1" t="s">
        <v>76</v>
      </c>
      <c r="S51" s="1">
        <v>608</v>
      </c>
      <c r="T51" s="1" t="s">
        <v>22</v>
      </c>
      <c r="U51" s="1">
        <f t="shared" si="61"/>
        <v>8.1030000000000005E-2</v>
      </c>
      <c r="V51" s="18">
        <f t="shared" si="62"/>
        <v>49.266240000000003</v>
      </c>
      <c r="AD51" s="1" t="s">
        <v>94</v>
      </c>
      <c r="AE51" s="1">
        <v>1.7</v>
      </c>
      <c r="AF51" s="1" t="s">
        <v>22</v>
      </c>
      <c r="AG51" s="1">
        <v>0.45400000000000001</v>
      </c>
      <c r="AH51" s="17">
        <f t="shared" si="66"/>
        <v>0.77180000000000004</v>
      </c>
      <c r="AJ51" s="1" t="s">
        <v>41</v>
      </c>
      <c r="AK51" s="1">
        <f>SUM(AK50:AK50)</f>
        <v>2000</v>
      </c>
      <c r="AL51" s="1" t="s">
        <v>22</v>
      </c>
      <c r="AM51" s="1"/>
      <c r="AN51" s="17">
        <f>SUM(AN50:AN50)</f>
        <v>658</v>
      </c>
      <c r="AP51" s="179" t="s">
        <v>133</v>
      </c>
      <c r="AQ51" s="179">
        <v>5</v>
      </c>
      <c r="AR51" s="179" t="s">
        <v>129</v>
      </c>
      <c r="AS51" s="180" t="s">
        <v>774</v>
      </c>
      <c r="AT51" s="181"/>
    </row>
    <row r="52" spans="1:46" x14ac:dyDescent="0.2">
      <c r="A52" s="1" t="s">
        <v>88</v>
      </c>
      <c r="B52" s="3">
        <v>350.4</v>
      </c>
      <c r="C52" s="5" t="s">
        <v>12</v>
      </c>
      <c r="D52" s="6">
        <f t="shared" si="0"/>
        <v>0.35039999999999999</v>
      </c>
      <c r="F52" s="1" t="s">
        <v>101</v>
      </c>
      <c r="G52" s="1">
        <v>20</v>
      </c>
      <c r="H52" s="1" t="s">
        <v>22</v>
      </c>
      <c r="I52" s="1">
        <v>0.02</v>
      </c>
      <c r="J52" s="17">
        <f t="shared" si="65"/>
        <v>0.4</v>
      </c>
      <c r="L52" s="89" t="s">
        <v>147</v>
      </c>
      <c r="M52" s="90"/>
      <c r="N52" s="90"/>
      <c r="O52" s="90"/>
      <c r="P52" s="91"/>
      <c r="R52" s="1" t="s">
        <v>41</v>
      </c>
      <c r="S52" s="1">
        <f>SUM(S44:S51)</f>
        <v>3042</v>
      </c>
      <c r="T52" s="1" t="s">
        <v>22</v>
      </c>
      <c r="U52" s="1"/>
      <c r="V52" s="17">
        <f>SUM(V44:V51)</f>
        <v>297.63009</v>
      </c>
      <c r="X52" s="75" t="s">
        <v>123</v>
      </c>
      <c r="Y52" s="76"/>
      <c r="Z52" s="76"/>
      <c r="AA52" s="76"/>
      <c r="AB52" s="77"/>
      <c r="AD52" s="1" t="s">
        <v>82</v>
      </c>
      <c r="AE52" s="1">
        <v>4</v>
      </c>
      <c r="AF52" s="1" t="s">
        <v>22</v>
      </c>
      <c r="AG52" s="1">
        <v>0.28899999999999998</v>
      </c>
      <c r="AH52" s="17">
        <f t="shared" si="66"/>
        <v>1.1559999999999999</v>
      </c>
      <c r="AJ52" s="1" t="s">
        <v>43</v>
      </c>
      <c r="AK52" s="1"/>
      <c r="AL52" s="1"/>
      <c r="AM52" s="1"/>
      <c r="AN52" s="20">
        <f>AN51/AK51</f>
        <v>0.32900000000000001</v>
      </c>
      <c r="AP52" s="1" t="s">
        <v>110</v>
      </c>
      <c r="AQ52" s="1">
        <v>30</v>
      </c>
      <c r="AR52" s="1" t="s">
        <v>129</v>
      </c>
      <c r="AS52" s="55" t="s">
        <v>139</v>
      </c>
      <c r="AT52" s="56"/>
    </row>
    <row r="53" spans="1:46" x14ac:dyDescent="0.2">
      <c r="A53" s="1" t="s">
        <v>148</v>
      </c>
      <c r="B53" s="3">
        <v>48.8</v>
      </c>
      <c r="C53" s="5" t="s">
        <v>12</v>
      </c>
      <c r="D53" s="6">
        <f t="shared" si="0"/>
        <v>4.8799999999999996E-2</v>
      </c>
      <c r="F53" s="1" t="s">
        <v>149</v>
      </c>
      <c r="G53" s="1">
        <v>5</v>
      </c>
      <c r="H53" s="1" t="s">
        <v>22</v>
      </c>
      <c r="I53" s="1">
        <v>5.6000000000000001E-2</v>
      </c>
      <c r="J53" s="17">
        <f t="shared" si="65"/>
        <v>0.28000000000000003</v>
      </c>
      <c r="L53" s="1" t="s">
        <v>15</v>
      </c>
      <c r="M53" s="1">
        <v>35</v>
      </c>
      <c r="N53" s="1" t="s">
        <v>22</v>
      </c>
      <c r="O53" s="20">
        <v>3.6999999999999998E-2</v>
      </c>
      <c r="P53" s="17">
        <f>O53*M53</f>
        <v>1.2949999999999999</v>
      </c>
      <c r="R53" s="1" t="s">
        <v>43</v>
      </c>
      <c r="S53" s="1"/>
      <c r="T53" s="1" t="s">
        <v>22</v>
      </c>
      <c r="U53" s="1"/>
      <c r="V53" s="1">
        <f>V52/S52</f>
        <v>9.784026627218935E-2</v>
      </c>
      <c r="X53" s="1" t="s">
        <v>23</v>
      </c>
      <c r="Y53" s="1">
        <v>223</v>
      </c>
      <c r="Z53" s="1" t="s">
        <v>22</v>
      </c>
      <c r="AA53" s="1">
        <f>_xlfn.XLOOKUP(X53,A2:A110,D2:D110)</f>
        <v>0</v>
      </c>
      <c r="AB53" s="17">
        <f>Y53*AA53</f>
        <v>0</v>
      </c>
      <c r="AD53" s="1" t="s">
        <v>53</v>
      </c>
      <c r="AE53" s="1">
        <v>0.5</v>
      </c>
      <c r="AF53" s="1" t="s">
        <v>22</v>
      </c>
      <c r="AG53" s="1">
        <v>0.51200000000000001</v>
      </c>
      <c r="AH53" s="17">
        <f t="shared" si="66"/>
        <v>0.25600000000000001</v>
      </c>
      <c r="AP53" s="1" t="s">
        <v>143</v>
      </c>
      <c r="AQ53" s="1">
        <v>25</v>
      </c>
      <c r="AR53" s="1" t="s">
        <v>129</v>
      </c>
      <c r="AS53" s="55" t="s">
        <v>555</v>
      </c>
      <c r="AT53" s="56"/>
    </row>
    <row r="54" spans="1:46" x14ac:dyDescent="0.2">
      <c r="A54" s="1" t="s">
        <v>150</v>
      </c>
      <c r="B54" s="3">
        <v>85</v>
      </c>
      <c r="C54" s="5" t="s">
        <v>12</v>
      </c>
      <c r="D54" s="6">
        <f t="shared" si="0"/>
        <v>8.5000000000000006E-2</v>
      </c>
      <c r="F54" s="1" t="s">
        <v>41</v>
      </c>
      <c r="G54" s="1"/>
      <c r="H54" s="1"/>
      <c r="I54" s="1"/>
      <c r="J54" s="21">
        <f>SUM(J49:J53)</f>
        <v>6.36</v>
      </c>
      <c r="L54" s="1" t="s">
        <v>151</v>
      </c>
      <c r="M54" s="1">
        <v>18</v>
      </c>
      <c r="N54" s="1" t="s">
        <v>22</v>
      </c>
      <c r="O54" s="1">
        <v>0.252</v>
      </c>
      <c r="P54" s="17">
        <f t="shared" ref="P54:P57" si="67">O54*M54</f>
        <v>4.5359999999999996</v>
      </c>
      <c r="X54" s="1" t="s">
        <v>26</v>
      </c>
      <c r="Y54" s="1">
        <v>543</v>
      </c>
      <c r="Z54" s="1" t="s">
        <v>22</v>
      </c>
      <c r="AA54" s="1">
        <f t="shared" ref="AA54:AA60" si="68">_xlfn.XLOOKUP(X54,A3:A111,D3:D111)</f>
        <v>1.315E-2</v>
      </c>
      <c r="AB54" s="17">
        <f t="shared" ref="AB54:AB62" si="69">Y54*AA54</f>
        <v>7.1404500000000004</v>
      </c>
      <c r="AD54" s="1" t="s">
        <v>41</v>
      </c>
      <c r="AE54" s="1"/>
      <c r="AF54" s="1"/>
      <c r="AG54" s="1"/>
      <c r="AH54" s="21">
        <f>SUM(AH49:AH53)</f>
        <v>3.9417999999999997</v>
      </c>
      <c r="AJ54" s="59" t="s">
        <v>152</v>
      </c>
      <c r="AK54" s="60"/>
      <c r="AL54" s="60"/>
      <c r="AM54" s="60"/>
      <c r="AN54" s="61"/>
      <c r="AP54" s="1" t="s">
        <v>556</v>
      </c>
      <c r="AQ54" s="1">
        <v>20</v>
      </c>
      <c r="AR54" s="1" t="s">
        <v>129</v>
      </c>
      <c r="AS54" s="55" t="s">
        <v>555</v>
      </c>
      <c r="AT54" s="56"/>
    </row>
    <row r="55" spans="1:46" x14ac:dyDescent="0.2">
      <c r="A55" s="1" t="s">
        <v>153</v>
      </c>
      <c r="B55" s="3">
        <v>144</v>
      </c>
      <c r="C55" s="5" t="s">
        <v>12</v>
      </c>
      <c r="D55" s="6">
        <f t="shared" si="0"/>
        <v>0.14399999999999999</v>
      </c>
      <c r="L55" s="1" t="s">
        <v>98</v>
      </c>
      <c r="M55" s="1">
        <v>80</v>
      </c>
      <c r="N55" s="1" t="s">
        <v>22</v>
      </c>
      <c r="O55" s="1">
        <v>0.1066</v>
      </c>
      <c r="P55" s="17">
        <f t="shared" si="67"/>
        <v>8.5280000000000005</v>
      </c>
      <c r="R55" s="85" t="s">
        <v>124</v>
      </c>
      <c r="S55" s="85"/>
      <c r="T55" s="85"/>
      <c r="U55" s="85"/>
      <c r="V55" s="85"/>
      <c r="X55" s="1" t="s">
        <v>29</v>
      </c>
      <c r="Y55" s="1">
        <v>543</v>
      </c>
      <c r="Z55" s="1" t="s">
        <v>22</v>
      </c>
      <c r="AA55" s="1">
        <f t="shared" si="68"/>
        <v>8.1000000000000003E-2</v>
      </c>
      <c r="AB55" s="17">
        <f t="shared" si="69"/>
        <v>43.983000000000004</v>
      </c>
      <c r="AJ55" s="1" t="s">
        <v>154</v>
      </c>
      <c r="AK55" s="1">
        <v>100</v>
      </c>
      <c r="AL55" s="1" t="s">
        <v>22</v>
      </c>
      <c r="AM55" s="20">
        <v>0.20100000000000001</v>
      </c>
      <c r="AN55" s="17">
        <f>AM55*AK55</f>
        <v>20.100000000000001</v>
      </c>
      <c r="AP55" s="1" t="s">
        <v>41</v>
      </c>
      <c r="AQ55" s="1">
        <f>SUM(AQ50:AQ54)</f>
        <v>88.181818181818187</v>
      </c>
      <c r="AR55" s="1" t="s">
        <v>129</v>
      </c>
      <c r="AS55" s="55">
        <v>12</v>
      </c>
      <c r="AT55" s="56"/>
    </row>
    <row r="56" spans="1:46" x14ac:dyDescent="0.2">
      <c r="A56" s="1" t="s">
        <v>155</v>
      </c>
      <c r="B56" s="3">
        <v>157.44</v>
      </c>
      <c r="C56" s="5" t="s">
        <v>12</v>
      </c>
      <c r="D56" s="6">
        <f t="shared" si="0"/>
        <v>0.15744</v>
      </c>
      <c r="F56" s="64" t="s">
        <v>156</v>
      </c>
      <c r="G56" s="64"/>
      <c r="H56" s="64"/>
      <c r="I56" s="64"/>
      <c r="J56" s="64"/>
      <c r="L56" s="1" t="s">
        <v>157</v>
      </c>
      <c r="M56" s="1">
        <v>10</v>
      </c>
      <c r="N56" s="1" t="s">
        <v>22</v>
      </c>
      <c r="O56" s="1">
        <v>0.13300000000000001</v>
      </c>
      <c r="P56" s="17">
        <f t="shared" si="67"/>
        <v>1.33</v>
      </c>
      <c r="R56" s="1" t="s">
        <v>25</v>
      </c>
      <c r="S56" s="1">
        <v>1000</v>
      </c>
      <c r="T56" s="1" t="s">
        <v>22</v>
      </c>
      <c r="U56" s="1">
        <f>_xlfn.XLOOKUP(R56,A32:A136,D32:D136)</f>
        <v>1.8839999999999999E-2</v>
      </c>
      <c r="V56" s="17">
        <f>U56*S56</f>
        <v>18.84</v>
      </c>
      <c r="X56" s="1" t="s">
        <v>132</v>
      </c>
      <c r="Y56" s="1">
        <v>363</v>
      </c>
      <c r="Z56" s="1" t="s">
        <v>22</v>
      </c>
      <c r="AA56" s="1">
        <f t="shared" si="68"/>
        <v>0</v>
      </c>
      <c r="AB56" s="17">
        <f t="shared" si="69"/>
        <v>0</v>
      </c>
      <c r="AD56" s="79" t="s">
        <v>158</v>
      </c>
      <c r="AE56" s="80"/>
      <c r="AF56" s="80"/>
      <c r="AG56" s="80"/>
      <c r="AH56" s="81"/>
      <c r="AJ56" s="1" t="s">
        <v>149</v>
      </c>
      <c r="AK56" s="1">
        <v>9</v>
      </c>
      <c r="AL56" s="1" t="s">
        <v>22</v>
      </c>
      <c r="AM56" s="1">
        <v>5.6000000000000001E-2</v>
      </c>
      <c r="AN56" s="17">
        <f t="shared" ref="AN56:AN60" si="70">AM56*AK56</f>
        <v>0.504</v>
      </c>
      <c r="AP56" s="33" t="s">
        <v>240</v>
      </c>
      <c r="AQ56" s="35">
        <f>AQ55/AS55</f>
        <v>7.3484848484848486</v>
      </c>
      <c r="AR56" s="33" t="s">
        <v>129</v>
      </c>
      <c r="AS56" s="57" t="s">
        <v>700</v>
      </c>
      <c r="AT56" s="58"/>
    </row>
    <row r="57" spans="1:46" x14ac:dyDescent="0.2">
      <c r="A57" s="1" t="s">
        <v>140</v>
      </c>
      <c r="B57" s="3">
        <v>812.8</v>
      </c>
      <c r="C57" s="5" t="s">
        <v>12</v>
      </c>
      <c r="D57" s="6">
        <f t="shared" si="0"/>
        <v>0.81279999999999997</v>
      </c>
      <c r="F57" s="1" t="s">
        <v>141</v>
      </c>
      <c r="G57" s="1">
        <v>11</v>
      </c>
      <c r="H57" s="1" t="s">
        <v>22</v>
      </c>
      <c r="I57" s="20">
        <v>4.3999999999999997E-2</v>
      </c>
      <c r="J57" s="17">
        <f>I57*G57</f>
        <v>0.48399999999999999</v>
      </c>
      <c r="L57" s="1" t="s">
        <v>94</v>
      </c>
      <c r="M57" s="1">
        <v>6</v>
      </c>
      <c r="N57" s="1" t="s">
        <v>22</v>
      </c>
      <c r="O57" s="1">
        <v>0.61099999999999999</v>
      </c>
      <c r="P57" s="17">
        <f t="shared" si="67"/>
        <v>3.6659999999999999</v>
      </c>
      <c r="R57" s="1" t="s">
        <v>29</v>
      </c>
      <c r="S57" s="1">
        <v>50</v>
      </c>
      <c r="T57" s="1" t="s">
        <v>22</v>
      </c>
      <c r="U57" s="1">
        <f>_xlfn.XLOOKUP(R57,A33:A137,D33:D137)</f>
        <v>8.1000000000000003E-2</v>
      </c>
      <c r="V57" s="17">
        <f t="shared" ref="V57:V60" si="71">U57*S57</f>
        <v>4.05</v>
      </c>
      <c r="X57" s="8" t="s">
        <v>33</v>
      </c>
      <c r="Y57" s="8">
        <v>288</v>
      </c>
      <c r="Z57" s="8" t="s">
        <v>22</v>
      </c>
      <c r="AA57" s="1">
        <f t="shared" si="68"/>
        <v>0.13930000000000001</v>
      </c>
      <c r="AB57" s="18">
        <f t="shared" si="69"/>
        <v>40.118400000000001</v>
      </c>
      <c r="AD57" s="1" t="s">
        <v>117</v>
      </c>
      <c r="AE57" s="1">
        <v>50</v>
      </c>
      <c r="AF57" s="1" t="s">
        <v>22</v>
      </c>
      <c r="AG57" s="20">
        <v>7.5600000000000001E-2</v>
      </c>
      <c r="AH57" s="17">
        <f>AG57*AE57</f>
        <v>3.7800000000000002</v>
      </c>
      <c r="AJ57" s="1" t="s">
        <v>159</v>
      </c>
      <c r="AK57" s="1">
        <v>14</v>
      </c>
      <c r="AL57" s="1" t="s">
        <v>22</v>
      </c>
      <c r="AM57" s="1">
        <v>0.13600000000000001</v>
      </c>
      <c r="AN57" s="17">
        <f t="shared" si="70"/>
        <v>1.9040000000000001</v>
      </c>
    </row>
    <row r="58" spans="1:46" x14ac:dyDescent="0.2">
      <c r="A58" s="1" t="s">
        <v>74</v>
      </c>
      <c r="B58" s="3">
        <v>206.63</v>
      </c>
      <c r="C58" s="5" t="s">
        <v>12</v>
      </c>
      <c r="D58" s="6">
        <f t="shared" si="0"/>
        <v>0.20663000000000001</v>
      </c>
      <c r="F58" s="1" t="s">
        <v>144</v>
      </c>
      <c r="G58" s="1">
        <v>8.3000000000000007</v>
      </c>
      <c r="H58" s="1" t="s">
        <v>22</v>
      </c>
      <c r="I58" s="1">
        <v>6.6000000000000003E-2</v>
      </c>
      <c r="J58" s="17">
        <f t="shared" ref="J58:J61" si="72">I58*G58</f>
        <v>0.54780000000000006</v>
      </c>
      <c r="L58" s="1" t="s">
        <v>41</v>
      </c>
      <c r="M58" s="1"/>
      <c r="N58" s="1"/>
      <c r="O58" s="1"/>
      <c r="P58" s="21">
        <f>SUM(P53:P57)</f>
        <v>19.355</v>
      </c>
      <c r="R58" s="1" t="s">
        <v>33</v>
      </c>
      <c r="S58" s="1">
        <v>150</v>
      </c>
      <c r="T58" s="1" t="s">
        <v>22</v>
      </c>
      <c r="U58" s="1">
        <f>_xlfn.XLOOKUP(R58,A34:A138,D34:D138)</f>
        <v>0.13930000000000001</v>
      </c>
      <c r="V58" s="17">
        <f t="shared" si="71"/>
        <v>20.895</v>
      </c>
      <c r="X58" s="2" t="s">
        <v>36</v>
      </c>
      <c r="Y58" s="1">
        <v>453</v>
      </c>
      <c r="Z58" s="1" t="s">
        <v>22</v>
      </c>
      <c r="AA58" s="1">
        <f t="shared" si="68"/>
        <v>0.32900000000000001</v>
      </c>
      <c r="AB58" s="18">
        <f t="shared" si="69"/>
        <v>149.03700000000001</v>
      </c>
      <c r="AD58" s="1" t="s">
        <v>121</v>
      </c>
      <c r="AE58" s="1">
        <v>30</v>
      </c>
      <c r="AF58" s="1" t="s">
        <v>22</v>
      </c>
      <c r="AG58" s="1">
        <v>4.2599999999999999E-2</v>
      </c>
      <c r="AH58" s="17">
        <f t="shared" ref="AH58:AH61" si="73">AG58*AE58</f>
        <v>1.278</v>
      </c>
      <c r="AJ58" s="1" t="s">
        <v>160</v>
      </c>
      <c r="AK58" s="1">
        <v>15</v>
      </c>
      <c r="AL58" s="1" t="s">
        <v>22</v>
      </c>
      <c r="AM58" s="1">
        <v>7.3999999999999996E-2</v>
      </c>
      <c r="AN58" s="17">
        <f t="shared" si="70"/>
        <v>1.1099999999999999</v>
      </c>
      <c r="AP58" s="103" t="s">
        <v>701</v>
      </c>
      <c r="AQ58" s="104"/>
      <c r="AS58" s="53"/>
    </row>
    <row r="59" spans="1:46" x14ac:dyDescent="0.2">
      <c r="A59" s="1" t="s">
        <v>161</v>
      </c>
      <c r="B59" s="3">
        <v>50</v>
      </c>
      <c r="C59" s="5" t="s">
        <v>12</v>
      </c>
      <c r="D59" s="6">
        <f t="shared" si="0"/>
        <v>0.05</v>
      </c>
      <c r="F59" s="1" t="s">
        <v>146</v>
      </c>
      <c r="G59" s="1">
        <v>5</v>
      </c>
      <c r="H59" s="1" t="s">
        <v>22</v>
      </c>
      <c r="I59" s="1">
        <v>9.7000000000000003E-2</v>
      </c>
      <c r="J59" s="17">
        <f t="shared" si="72"/>
        <v>0.48499999999999999</v>
      </c>
      <c r="R59" s="2" t="s">
        <v>111</v>
      </c>
      <c r="S59" s="1">
        <v>1750</v>
      </c>
      <c r="T59" s="1" t="s">
        <v>22</v>
      </c>
      <c r="U59" s="1">
        <f>_xlfn.XLOOKUP(R59,A35:A139,D35:D139)</f>
        <v>0.32980000000000004</v>
      </c>
      <c r="V59" s="17">
        <f t="shared" si="71"/>
        <v>577.15000000000009</v>
      </c>
      <c r="X59" s="1" t="s">
        <v>38</v>
      </c>
      <c r="Y59" s="1">
        <v>21</v>
      </c>
      <c r="Z59" s="1" t="s">
        <v>22</v>
      </c>
      <c r="AA59" s="1">
        <f>_xlfn.XLOOKUP(X59,A8:A116,D8:D116)</f>
        <v>0.38500000000000001</v>
      </c>
      <c r="AB59" s="18">
        <f t="shared" si="69"/>
        <v>8.0850000000000009</v>
      </c>
      <c r="AD59" s="1" t="s">
        <v>94</v>
      </c>
      <c r="AE59" s="1">
        <v>7</v>
      </c>
      <c r="AF59" s="1" t="s">
        <v>22</v>
      </c>
      <c r="AG59" s="1">
        <v>0.45400000000000001</v>
      </c>
      <c r="AH59" s="17">
        <f t="shared" si="73"/>
        <v>3.1779999999999999</v>
      </c>
      <c r="AJ59" s="1" t="s">
        <v>162</v>
      </c>
      <c r="AK59" s="1">
        <v>10</v>
      </c>
      <c r="AL59" s="1" t="s">
        <v>22</v>
      </c>
      <c r="AM59" s="1">
        <v>0.113</v>
      </c>
      <c r="AN59" s="17">
        <f t="shared" si="70"/>
        <v>1.1300000000000001</v>
      </c>
      <c r="AP59" s="43" t="s">
        <v>415</v>
      </c>
      <c r="AQ59" s="43">
        <f>AT47</f>
        <v>20.259609999999999</v>
      </c>
      <c r="AS59" s="53"/>
    </row>
    <row r="60" spans="1:46" x14ac:dyDescent="0.2">
      <c r="A60" s="1" t="s">
        <v>163</v>
      </c>
      <c r="B60" s="3">
        <v>75</v>
      </c>
      <c r="C60" s="5" t="s">
        <v>12</v>
      </c>
      <c r="D60" s="6">
        <f t="shared" si="0"/>
        <v>7.4999999999999997E-2</v>
      </c>
      <c r="F60" s="1" t="s">
        <v>101</v>
      </c>
      <c r="G60" s="1">
        <v>6</v>
      </c>
      <c r="H60" s="1" t="s">
        <v>22</v>
      </c>
      <c r="I60" s="1">
        <v>0.02</v>
      </c>
      <c r="J60" s="17">
        <f t="shared" si="72"/>
        <v>0.12</v>
      </c>
      <c r="L60" s="63" t="s">
        <v>127</v>
      </c>
      <c r="M60" s="63"/>
      <c r="N60" s="63"/>
      <c r="O60" s="63"/>
      <c r="P60" s="63"/>
      <c r="R60" s="1" t="s">
        <v>39</v>
      </c>
      <c r="S60" s="1">
        <v>2000</v>
      </c>
      <c r="T60" s="1" t="s">
        <v>22</v>
      </c>
      <c r="U60" s="1">
        <f>_xlfn.XLOOKUP(R60,A36:A140,D36:D140)</f>
        <v>5.6149999999999999E-2</v>
      </c>
      <c r="V60" s="17">
        <f t="shared" si="71"/>
        <v>112.3</v>
      </c>
      <c r="X60" s="1" t="s">
        <v>76</v>
      </c>
      <c r="Y60" s="1">
        <v>608</v>
      </c>
      <c r="Z60" s="1" t="s">
        <v>22</v>
      </c>
      <c r="AA60" s="1">
        <f t="shared" si="68"/>
        <v>8.1030000000000005E-2</v>
      </c>
      <c r="AB60" s="18">
        <f t="shared" si="69"/>
        <v>49.266240000000003</v>
      </c>
      <c r="AD60" s="1" t="s">
        <v>82</v>
      </c>
      <c r="AE60" s="1">
        <v>5</v>
      </c>
      <c r="AF60" s="1" t="s">
        <v>22</v>
      </c>
      <c r="AG60" s="1">
        <v>0.28899999999999998</v>
      </c>
      <c r="AH60" s="17">
        <f t="shared" si="73"/>
        <v>1.4449999999999998</v>
      </c>
      <c r="AJ60" s="1" t="s">
        <v>142</v>
      </c>
      <c r="AK60" s="1">
        <v>2</v>
      </c>
      <c r="AL60" s="1" t="s">
        <v>22</v>
      </c>
      <c r="AM60" s="1">
        <v>0.32900000000000001</v>
      </c>
      <c r="AN60" s="17">
        <f t="shared" si="70"/>
        <v>0.65800000000000003</v>
      </c>
      <c r="AP60" s="1" t="s">
        <v>496</v>
      </c>
      <c r="AQ60" s="1">
        <f>AQ56*I82</f>
        <v>45.928030303030305</v>
      </c>
      <c r="AS60" s="53"/>
    </row>
    <row r="61" spans="1:46" x14ac:dyDescent="0.2">
      <c r="A61" s="1" t="s">
        <v>164</v>
      </c>
      <c r="B61" s="3">
        <v>173.2</v>
      </c>
      <c r="C61" s="5" t="s">
        <v>12</v>
      </c>
      <c r="D61" s="6">
        <f t="shared" si="0"/>
        <v>0.17319999999999999</v>
      </c>
      <c r="F61" s="1" t="s">
        <v>149</v>
      </c>
      <c r="G61" s="1">
        <v>0</v>
      </c>
      <c r="H61" s="1" t="s">
        <v>22</v>
      </c>
      <c r="I61" s="1">
        <v>5.6000000000000001E-2</v>
      </c>
      <c r="J61" s="17">
        <f t="shared" si="72"/>
        <v>0</v>
      </c>
      <c r="L61" s="1" t="s">
        <v>98</v>
      </c>
      <c r="M61" s="1">
        <v>30</v>
      </c>
      <c r="N61" s="1" t="s">
        <v>129</v>
      </c>
      <c r="O61" s="55" t="s">
        <v>521</v>
      </c>
      <c r="P61" s="56"/>
      <c r="R61" s="8" t="s">
        <v>41</v>
      </c>
      <c r="S61" s="8">
        <f>SUM(S56:S60)</f>
        <v>4950</v>
      </c>
      <c r="T61" s="8" t="s">
        <v>22</v>
      </c>
      <c r="U61" s="8"/>
      <c r="V61" s="18">
        <f>SUM(V56:V60)</f>
        <v>733.23500000000001</v>
      </c>
      <c r="X61" s="1" t="s">
        <v>41</v>
      </c>
      <c r="Y61" s="1">
        <f>SUM(Y53:Y60)</f>
        <v>3042</v>
      </c>
      <c r="Z61" s="1" t="s">
        <v>22</v>
      </c>
      <c r="AA61" s="1"/>
      <c r="AB61" s="17">
        <f>SUM(AB53:AB60)</f>
        <v>297.63009</v>
      </c>
      <c r="AD61" s="1" t="s">
        <v>53</v>
      </c>
      <c r="AE61" s="1">
        <v>0.7</v>
      </c>
      <c r="AF61" s="1" t="s">
        <v>22</v>
      </c>
      <c r="AG61" s="1">
        <v>0.51200000000000001</v>
      </c>
      <c r="AH61" s="17">
        <f t="shared" si="73"/>
        <v>0.3584</v>
      </c>
      <c r="AJ61" s="1" t="s">
        <v>41</v>
      </c>
      <c r="AK61" s="1"/>
      <c r="AL61" s="1"/>
      <c r="AM61" s="1"/>
      <c r="AN61" s="21">
        <f>SUM(AN55:AN60)</f>
        <v>25.406000000000002</v>
      </c>
      <c r="AP61" s="33" t="s">
        <v>680</v>
      </c>
      <c r="AQ61" s="21">
        <f>SUM(AQ59:AQ60)</f>
        <v>66.187640303030307</v>
      </c>
      <c r="AS61" s="53"/>
    </row>
    <row r="62" spans="1:46" x14ac:dyDescent="0.2">
      <c r="A62" s="1" t="s">
        <v>137</v>
      </c>
      <c r="B62" s="3">
        <v>611</v>
      </c>
      <c r="C62" s="5" t="s">
        <v>12</v>
      </c>
      <c r="D62" s="6">
        <f t="shared" si="0"/>
        <v>0.61099999999999999</v>
      </c>
      <c r="F62" s="1" t="s">
        <v>41</v>
      </c>
      <c r="G62" s="1"/>
      <c r="H62" s="1"/>
      <c r="I62" s="1"/>
      <c r="J62" s="21">
        <f>SUM(J57:J61)</f>
        <v>1.6368</v>
      </c>
      <c r="L62" s="1" t="s">
        <v>552</v>
      </c>
      <c r="M62" s="1">
        <v>190</v>
      </c>
      <c r="N62" s="1" t="s">
        <v>129</v>
      </c>
      <c r="O62" s="55" t="s">
        <v>551</v>
      </c>
      <c r="P62" s="56"/>
      <c r="R62" s="1" t="s">
        <v>43</v>
      </c>
      <c r="S62" s="1"/>
      <c r="T62" s="1"/>
      <c r="U62" s="1"/>
      <c r="V62" s="20">
        <f>V61/S61</f>
        <v>0.14812828282828283</v>
      </c>
      <c r="X62" s="1" t="s">
        <v>43</v>
      </c>
      <c r="Y62" s="1"/>
      <c r="Z62" s="1" t="s">
        <v>22</v>
      </c>
      <c r="AA62" s="1"/>
      <c r="AB62" s="1">
        <f>AB61/Y61</f>
        <v>9.784026627218935E-2</v>
      </c>
      <c r="AD62" s="1" t="s">
        <v>41</v>
      </c>
      <c r="AE62" s="1"/>
      <c r="AF62" s="1"/>
      <c r="AG62" s="1"/>
      <c r="AH62" s="21">
        <f>SUM(AH57:AH61)</f>
        <v>10.039400000000001</v>
      </c>
    </row>
    <row r="63" spans="1:46" x14ac:dyDescent="0.2">
      <c r="A63" s="1" t="s">
        <v>63</v>
      </c>
      <c r="B63" s="3">
        <v>454</v>
      </c>
      <c r="C63" s="5" t="s">
        <v>12</v>
      </c>
      <c r="D63" s="6">
        <f t="shared" si="0"/>
        <v>0.45400000000000001</v>
      </c>
      <c r="F63" s="175"/>
      <c r="G63" s="175"/>
      <c r="H63" s="175"/>
      <c r="I63" s="175"/>
      <c r="J63" s="176"/>
      <c r="L63" s="1" t="s">
        <v>564</v>
      </c>
      <c r="M63" s="1">
        <v>48</v>
      </c>
      <c r="N63" s="1" t="s">
        <v>129</v>
      </c>
      <c r="O63" s="55" t="s">
        <v>563</v>
      </c>
      <c r="P63" s="56"/>
      <c r="AJ63" s="59" t="s">
        <v>127</v>
      </c>
      <c r="AK63" s="60"/>
      <c r="AL63" s="60"/>
      <c r="AM63" s="60"/>
      <c r="AN63" s="61"/>
    </row>
    <row r="64" spans="1:46" x14ac:dyDescent="0.2">
      <c r="A64" s="1" t="s">
        <v>165</v>
      </c>
      <c r="B64" s="3">
        <v>224.8</v>
      </c>
      <c r="C64" s="5" t="s">
        <v>12</v>
      </c>
      <c r="D64" s="6">
        <f t="shared" ref="D64:D104" si="74">B64/1000</f>
        <v>0.2248</v>
      </c>
      <c r="F64" s="64" t="s">
        <v>776</v>
      </c>
      <c r="G64" s="64"/>
      <c r="H64" s="64"/>
      <c r="I64" s="64"/>
      <c r="J64" s="64"/>
      <c r="L64" s="1" t="s">
        <v>588</v>
      </c>
      <c r="M64" s="1">
        <v>35</v>
      </c>
      <c r="N64" s="1" t="s">
        <v>129</v>
      </c>
      <c r="O64" s="55" t="s">
        <v>589</v>
      </c>
      <c r="P64" s="56"/>
      <c r="R64" s="82" t="s">
        <v>166</v>
      </c>
      <c r="S64" s="83"/>
      <c r="T64" s="83"/>
      <c r="U64" s="83"/>
      <c r="V64" s="84"/>
      <c r="X64" s="62" t="s">
        <v>167</v>
      </c>
      <c r="Y64" s="62"/>
      <c r="Z64" s="62"/>
      <c r="AA64" s="62"/>
      <c r="AB64" s="62"/>
      <c r="AD64" s="100" t="s">
        <v>127</v>
      </c>
      <c r="AE64" s="100"/>
      <c r="AF64" s="100"/>
      <c r="AG64" s="100"/>
      <c r="AH64" s="100"/>
      <c r="AJ64" s="1" t="s">
        <v>442</v>
      </c>
      <c r="AK64" s="1">
        <v>90</v>
      </c>
      <c r="AL64" s="1" t="s">
        <v>129</v>
      </c>
      <c r="AM64" s="55" t="s">
        <v>577</v>
      </c>
      <c r="AN64" s="56"/>
    </row>
    <row r="65" spans="1:40" x14ac:dyDescent="0.2">
      <c r="A65" s="1" t="s">
        <v>168</v>
      </c>
      <c r="B65" s="3">
        <v>141.4</v>
      </c>
      <c r="C65" s="5" t="s">
        <v>12</v>
      </c>
      <c r="D65" s="6">
        <f t="shared" si="74"/>
        <v>0.1414</v>
      </c>
      <c r="F65" s="1" t="s">
        <v>769</v>
      </c>
      <c r="G65" s="1">
        <v>90</v>
      </c>
      <c r="H65" s="1" t="s">
        <v>129</v>
      </c>
      <c r="I65" s="177" t="s">
        <v>577</v>
      </c>
      <c r="J65" s="177"/>
      <c r="L65" s="1" t="s">
        <v>593</v>
      </c>
      <c r="M65" s="1">
        <v>90</v>
      </c>
      <c r="N65" s="1" t="s">
        <v>129</v>
      </c>
      <c r="O65" s="55" t="s">
        <v>563</v>
      </c>
      <c r="P65" s="56"/>
      <c r="R65" s="1" t="s">
        <v>16</v>
      </c>
      <c r="S65" s="1">
        <v>9</v>
      </c>
      <c r="T65" s="1" t="s">
        <v>22</v>
      </c>
      <c r="U65" s="20">
        <v>6.7100000000000007E-2</v>
      </c>
      <c r="V65" s="17">
        <f>U65*S65</f>
        <v>0.6039000000000001</v>
      </c>
      <c r="X65" s="2" t="s">
        <v>36</v>
      </c>
      <c r="Y65" s="1">
        <v>2000</v>
      </c>
      <c r="Z65" s="1" t="s">
        <v>22</v>
      </c>
      <c r="AA65" s="1">
        <f>_xlfn.XLOOKUP(X65,A8:A116,D8:D116)</f>
        <v>0.32900000000000001</v>
      </c>
      <c r="AB65" s="17">
        <f>AA65*Y65</f>
        <v>658</v>
      </c>
      <c r="AD65" s="1" t="s">
        <v>667</v>
      </c>
      <c r="AE65" s="1">
        <v>450</v>
      </c>
      <c r="AF65" s="1" t="s">
        <v>129</v>
      </c>
      <c r="AG65" s="55" t="s">
        <v>566</v>
      </c>
      <c r="AH65" s="56"/>
      <c r="AJ65" s="1" t="s">
        <v>160</v>
      </c>
      <c r="AK65" s="1">
        <v>30</v>
      </c>
      <c r="AL65" s="1" t="s">
        <v>129</v>
      </c>
      <c r="AM65" s="55" t="s">
        <v>608</v>
      </c>
      <c r="AN65" s="56"/>
    </row>
    <row r="66" spans="1:40" x14ac:dyDescent="0.2">
      <c r="A66" s="1" t="s">
        <v>169</v>
      </c>
      <c r="B66" s="3">
        <v>164</v>
      </c>
      <c r="C66" s="5" t="s">
        <v>12</v>
      </c>
      <c r="D66" s="6">
        <f t="shared" si="74"/>
        <v>0.16400000000000001</v>
      </c>
      <c r="F66" s="1" t="s">
        <v>240</v>
      </c>
      <c r="G66" s="1">
        <f>G65/4624</f>
        <v>1.9463667820069204E-2</v>
      </c>
      <c r="H66" s="1" t="s">
        <v>777</v>
      </c>
      <c r="I66" s="177" t="s">
        <v>778</v>
      </c>
      <c r="J66" s="177"/>
      <c r="L66" s="1" t="s">
        <v>611</v>
      </c>
      <c r="M66" s="1">
        <v>50</v>
      </c>
      <c r="N66" s="1" t="s">
        <v>129</v>
      </c>
      <c r="O66" s="55" t="s">
        <v>612</v>
      </c>
      <c r="P66" s="56"/>
      <c r="R66" s="1" t="s">
        <v>170</v>
      </c>
      <c r="S66" s="1">
        <v>14</v>
      </c>
      <c r="T66" s="1" t="s">
        <v>22</v>
      </c>
      <c r="U66" s="1">
        <v>8.6300000000000002E-2</v>
      </c>
      <c r="V66" s="17">
        <f t="shared" ref="V66:V72" si="75">U66*S66</f>
        <v>1.2081999999999999</v>
      </c>
      <c r="X66" s="1" t="s">
        <v>41</v>
      </c>
      <c r="Y66" s="1">
        <f>SUM(Y65:Y65)</f>
        <v>2000</v>
      </c>
      <c r="Z66" s="1" t="s">
        <v>22</v>
      </c>
      <c r="AA66" s="1"/>
      <c r="AB66" s="17">
        <f>SUM(AB65:AB65)</f>
        <v>658</v>
      </c>
      <c r="AD66" s="1" t="s">
        <v>82</v>
      </c>
      <c r="AE66" s="1">
        <v>35</v>
      </c>
      <c r="AF66" s="1" t="s">
        <v>129</v>
      </c>
      <c r="AG66" s="55" t="s">
        <v>525</v>
      </c>
      <c r="AH66" s="56"/>
      <c r="AJ66" s="1" t="s">
        <v>625</v>
      </c>
      <c r="AK66" s="1">
        <v>5</v>
      </c>
      <c r="AL66" s="1" t="s">
        <v>129</v>
      </c>
      <c r="AM66" s="55">
        <v>384</v>
      </c>
      <c r="AN66" s="56"/>
    </row>
    <row r="67" spans="1:40" x14ac:dyDescent="0.2">
      <c r="A67" s="1" t="s">
        <v>171</v>
      </c>
      <c r="B67" s="3">
        <v>166.24</v>
      </c>
      <c r="C67" s="5" t="s">
        <v>12</v>
      </c>
      <c r="D67" s="6">
        <f t="shared" si="74"/>
        <v>0.16624</v>
      </c>
      <c r="L67" s="1" t="s">
        <v>15</v>
      </c>
      <c r="M67" s="1">
        <v>60</v>
      </c>
      <c r="N67" s="1" t="s">
        <v>129</v>
      </c>
      <c r="O67" s="55" t="s">
        <v>653</v>
      </c>
      <c r="P67" s="56"/>
      <c r="R67" s="1" t="s">
        <v>172</v>
      </c>
      <c r="S67" s="1">
        <v>5</v>
      </c>
      <c r="T67" s="1" t="s">
        <v>22</v>
      </c>
      <c r="U67" s="1">
        <v>5.6000000000000001E-2</v>
      </c>
      <c r="V67" s="17">
        <f t="shared" si="75"/>
        <v>0.28000000000000003</v>
      </c>
      <c r="X67" s="1" t="s">
        <v>43</v>
      </c>
      <c r="Y67" s="1"/>
      <c r="Z67" s="1"/>
      <c r="AA67" s="1"/>
      <c r="AB67" s="20">
        <f>AB66/Y66</f>
        <v>0.32900000000000001</v>
      </c>
      <c r="AD67" s="1" t="s">
        <v>534</v>
      </c>
      <c r="AE67" s="1">
        <v>135</v>
      </c>
      <c r="AF67" s="1" t="s">
        <v>129</v>
      </c>
      <c r="AG67" s="55" t="s">
        <v>559</v>
      </c>
      <c r="AH67" s="56"/>
      <c r="AJ67" s="1" t="s">
        <v>596</v>
      </c>
      <c r="AK67" s="1">
        <v>20</v>
      </c>
      <c r="AL67" s="1" t="s">
        <v>129</v>
      </c>
      <c r="AM67" s="55">
        <v>384</v>
      </c>
      <c r="AN67" s="56"/>
    </row>
    <row r="68" spans="1:40" x14ac:dyDescent="0.2">
      <c r="A68" s="1" t="s">
        <v>173</v>
      </c>
      <c r="B68" s="3">
        <v>168</v>
      </c>
      <c r="C68" s="5" t="s">
        <v>12</v>
      </c>
      <c r="D68" s="6">
        <f t="shared" si="74"/>
        <v>0.16800000000000001</v>
      </c>
      <c r="F68" s="64" t="s">
        <v>127</v>
      </c>
      <c r="G68" s="64"/>
      <c r="H68" s="64"/>
      <c r="I68" s="64"/>
      <c r="J68" s="64"/>
      <c r="L68" s="1" t="s">
        <v>657</v>
      </c>
      <c r="M68" s="1">
        <v>30</v>
      </c>
      <c r="N68" s="1" t="s">
        <v>129</v>
      </c>
      <c r="O68" s="55"/>
      <c r="P68" s="56"/>
      <c r="R68" s="1" t="s">
        <v>154</v>
      </c>
      <c r="S68" s="1">
        <v>60</v>
      </c>
      <c r="T68" s="1" t="s">
        <v>22</v>
      </c>
      <c r="U68" s="1">
        <v>0.126</v>
      </c>
      <c r="V68" s="17">
        <f t="shared" si="75"/>
        <v>7.5600000000000005</v>
      </c>
      <c r="AD68" s="1" t="s">
        <v>535</v>
      </c>
      <c r="AE68" s="1">
        <v>15</v>
      </c>
      <c r="AF68" s="1" t="s">
        <v>129</v>
      </c>
      <c r="AG68" s="55"/>
      <c r="AH68" s="56"/>
      <c r="AJ68" s="1" t="s">
        <v>626</v>
      </c>
      <c r="AK68" s="1">
        <v>135</v>
      </c>
      <c r="AL68" s="1" t="s">
        <v>129</v>
      </c>
      <c r="AM68" s="55" t="s">
        <v>627</v>
      </c>
      <c r="AN68" s="56"/>
    </row>
    <row r="69" spans="1:40" x14ac:dyDescent="0.2">
      <c r="A69" s="1" t="s">
        <v>174</v>
      </c>
      <c r="B69" s="3">
        <v>882</v>
      </c>
      <c r="C69" s="5" t="s">
        <v>12</v>
      </c>
      <c r="D69" s="6">
        <f t="shared" si="74"/>
        <v>0.88200000000000001</v>
      </c>
      <c r="F69" s="1" t="s">
        <v>442</v>
      </c>
      <c r="G69" s="1">
        <f>G66*315</f>
        <v>6.1310553633217992</v>
      </c>
      <c r="H69" s="1" t="s">
        <v>129</v>
      </c>
      <c r="I69" s="55">
        <v>315</v>
      </c>
      <c r="J69" s="56"/>
      <c r="L69" s="1" t="s">
        <v>660</v>
      </c>
      <c r="M69" s="1">
        <v>240</v>
      </c>
      <c r="N69" s="1" t="s">
        <v>129</v>
      </c>
      <c r="O69" s="55" t="s">
        <v>661</v>
      </c>
      <c r="P69" s="56"/>
      <c r="R69" s="1" t="s">
        <v>103</v>
      </c>
      <c r="S69" s="1">
        <v>12</v>
      </c>
      <c r="T69" s="1" t="s">
        <v>22</v>
      </c>
      <c r="U69" s="1">
        <v>9.7799999999999998E-2</v>
      </c>
      <c r="V69" s="17">
        <f t="shared" si="75"/>
        <v>1.1736</v>
      </c>
      <c r="X69" s="75" t="s">
        <v>175</v>
      </c>
      <c r="Y69" s="76"/>
      <c r="Z69" s="76"/>
      <c r="AA69" s="76"/>
      <c r="AB69" s="77"/>
      <c r="AD69" s="1" t="s">
        <v>536</v>
      </c>
      <c r="AE69" s="1">
        <v>120</v>
      </c>
      <c r="AF69" s="1" t="s">
        <v>129</v>
      </c>
      <c r="AG69" s="55" t="s">
        <v>566</v>
      </c>
      <c r="AH69" s="56"/>
      <c r="AJ69" s="1" t="s">
        <v>630</v>
      </c>
      <c r="AK69" s="1">
        <v>40</v>
      </c>
      <c r="AL69" s="1" t="s">
        <v>129</v>
      </c>
      <c r="AM69" s="55" t="s">
        <v>631</v>
      </c>
      <c r="AN69" s="56"/>
    </row>
    <row r="70" spans="1:40" x14ac:dyDescent="0.2">
      <c r="A70" s="1" t="s">
        <v>176</v>
      </c>
      <c r="B70" s="3">
        <v>828</v>
      </c>
      <c r="C70" s="5" t="s">
        <v>12</v>
      </c>
      <c r="D70" s="6">
        <f t="shared" si="74"/>
        <v>0.82799999999999996</v>
      </c>
      <c r="F70" s="1" t="s">
        <v>560</v>
      </c>
      <c r="G70" s="1">
        <v>30</v>
      </c>
      <c r="H70" s="1" t="s">
        <v>129</v>
      </c>
      <c r="I70" s="55" t="s">
        <v>580</v>
      </c>
      <c r="J70" s="56"/>
      <c r="L70" s="1" t="s">
        <v>663</v>
      </c>
      <c r="M70" s="1">
        <v>50</v>
      </c>
      <c r="N70" s="1" t="s">
        <v>129</v>
      </c>
      <c r="O70" s="55" t="s">
        <v>612</v>
      </c>
      <c r="P70" s="56"/>
      <c r="R70" s="1" t="s">
        <v>177</v>
      </c>
      <c r="S70" s="1">
        <v>30</v>
      </c>
      <c r="T70" s="1" t="s">
        <v>22</v>
      </c>
      <c r="U70" s="1">
        <v>0.14799999999999999</v>
      </c>
      <c r="V70" s="17">
        <f t="shared" si="75"/>
        <v>4.4399999999999995</v>
      </c>
      <c r="X70" s="1" t="s">
        <v>178</v>
      </c>
      <c r="Y70" s="1">
        <v>17</v>
      </c>
      <c r="Z70" s="1" t="s">
        <v>22</v>
      </c>
      <c r="AA70" s="20">
        <v>6.2199999999999998E-2</v>
      </c>
      <c r="AB70" s="17">
        <f>AA70*Y70</f>
        <v>1.0573999999999999</v>
      </c>
      <c r="AD70" s="1" t="s">
        <v>565</v>
      </c>
      <c r="AE70" s="1">
        <v>83</v>
      </c>
      <c r="AF70" s="1" t="s">
        <v>129</v>
      </c>
      <c r="AG70" s="55" t="s">
        <v>566</v>
      </c>
      <c r="AH70" s="56"/>
      <c r="AJ70" s="1" t="s">
        <v>635</v>
      </c>
      <c r="AK70" s="1">
        <v>150</v>
      </c>
      <c r="AL70" s="1" t="s">
        <v>129</v>
      </c>
      <c r="AM70" s="55" t="s">
        <v>636</v>
      </c>
      <c r="AN70" s="56"/>
    </row>
    <row r="71" spans="1:40" x14ac:dyDescent="0.2">
      <c r="A71" s="1" t="s">
        <v>179</v>
      </c>
      <c r="B71" s="3">
        <v>128</v>
      </c>
      <c r="C71" s="5" t="s">
        <v>12</v>
      </c>
      <c r="D71" s="6">
        <f t="shared" si="74"/>
        <v>0.128</v>
      </c>
      <c r="F71" s="1" t="s">
        <v>609</v>
      </c>
      <c r="G71" s="1">
        <v>65</v>
      </c>
      <c r="H71" s="1" t="s">
        <v>129</v>
      </c>
      <c r="I71" s="55">
        <v>380</v>
      </c>
      <c r="J71" s="56"/>
      <c r="L71" s="1" t="s">
        <v>41</v>
      </c>
      <c r="M71" s="1">
        <f>SUM(M61:M70)</f>
        <v>823</v>
      </c>
      <c r="N71" s="1" t="s">
        <v>129</v>
      </c>
      <c r="O71" s="55">
        <v>298</v>
      </c>
      <c r="P71" s="56"/>
      <c r="R71" s="2" t="s">
        <v>36</v>
      </c>
      <c r="S71" s="1">
        <v>3</v>
      </c>
      <c r="T71" s="1" t="s">
        <v>22</v>
      </c>
      <c r="U71" s="1">
        <v>0.32979999999999998</v>
      </c>
      <c r="V71" s="17">
        <f t="shared" si="75"/>
        <v>0.98939999999999995</v>
      </c>
      <c r="X71" s="1" t="s">
        <v>180</v>
      </c>
      <c r="Y71" s="1">
        <v>70</v>
      </c>
      <c r="Z71" s="1" t="s">
        <v>22</v>
      </c>
      <c r="AA71" s="1">
        <v>0.14863000000000001</v>
      </c>
      <c r="AB71" s="17">
        <f t="shared" ref="AB71:AB76" si="76">AA71*Y71</f>
        <v>10.404100000000001</v>
      </c>
      <c r="AD71" s="1" t="s">
        <v>121</v>
      </c>
      <c r="AE71" s="1">
        <v>60</v>
      </c>
      <c r="AF71" s="1" t="s">
        <v>129</v>
      </c>
      <c r="AG71" s="55" t="s">
        <v>664</v>
      </c>
      <c r="AH71" s="56"/>
      <c r="AJ71" s="1" t="s">
        <v>657</v>
      </c>
      <c r="AK71" s="1">
        <v>30</v>
      </c>
      <c r="AL71" s="1" t="s">
        <v>129</v>
      </c>
      <c r="AM71" s="55"/>
      <c r="AN71" s="56"/>
    </row>
    <row r="72" spans="1:40" x14ac:dyDescent="0.2">
      <c r="A72" s="1" t="s">
        <v>181</v>
      </c>
      <c r="B72" s="4">
        <v>205.33</v>
      </c>
      <c r="C72" s="5" t="s">
        <v>12</v>
      </c>
      <c r="D72" s="6">
        <f t="shared" si="74"/>
        <v>0.20533000000000001</v>
      </c>
      <c r="F72" s="1" t="s">
        <v>610</v>
      </c>
      <c r="G72" s="1">
        <v>100</v>
      </c>
      <c r="H72" s="1" t="s">
        <v>129</v>
      </c>
      <c r="I72" s="55">
        <v>315</v>
      </c>
      <c r="J72" s="56"/>
      <c r="L72" s="33" t="s">
        <v>240</v>
      </c>
      <c r="M72" s="35">
        <f>M71/O71</f>
        <v>2.761744966442953</v>
      </c>
      <c r="N72" s="33" t="s">
        <v>129</v>
      </c>
      <c r="O72" s="57" t="s">
        <v>696</v>
      </c>
      <c r="P72" s="58"/>
      <c r="R72" s="1" t="s">
        <v>53</v>
      </c>
      <c r="S72" s="1">
        <v>1</v>
      </c>
      <c r="T72" s="1" t="s">
        <v>22</v>
      </c>
      <c r="U72" s="1">
        <v>0.51200000000000001</v>
      </c>
      <c r="V72" s="17">
        <f t="shared" si="75"/>
        <v>0.51200000000000001</v>
      </c>
      <c r="X72" s="1" t="s">
        <v>182</v>
      </c>
      <c r="Y72" s="1">
        <v>14</v>
      </c>
      <c r="Z72" s="1" t="s">
        <v>22</v>
      </c>
      <c r="AA72" s="1">
        <v>2.588E-2</v>
      </c>
      <c r="AB72" s="17">
        <f t="shared" si="76"/>
        <v>0.36231999999999998</v>
      </c>
      <c r="AD72" s="1" t="s">
        <v>666</v>
      </c>
      <c r="AE72" s="1">
        <v>20</v>
      </c>
      <c r="AF72" s="1" t="s">
        <v>129</v>
      </c>
      <c r="AG72" s="55" t="s">
        <v>665</v>
      </c>
      <c r="AH72" s="56"/>
      <c r="AJ72" s="1" t="s">
        <v>671</v>
      </c>
      <c r="AK72" s="1">
        <v>60</v>
      </c>
      <c r="AL72" s="1" t="s">
        <v>129</v>
      </c>
      <c r="AM72" s="55" t="s">
        <v>662</v>
      </c>
      <c r="AN72" s="56"/>
    </row>
    <row r="73" spans="1:40" x14ac:dyDescent="0.2">
      <c r="A73" s="1" t="s">
        <v>62</v>
      </c>
      <c r="B73" s="3">
        <v>114.66</v>
      </c>
      <c r="C73" s="5" t="s">
        <v>12</v>
      </c>
      <c r="D73" s="6">
        <f t="shared" si="74"/>
        <v>0.11466</v>
      </c>
      <c r="F73" s="1" t="s">
        <v>522</v>
      </c>
      <c r="G73" s="1">
        <v>65</v>
      </c>
      <c r="H73" s="1" t="s">
        <v>129</v>
      </c>
      <c r="I73" s="55" t="s">
        <v>580</v>
      </c>
      <c r="J73" s="56"/>
      <c r="R73" s="1" t="s">
        <v>41</v>
      </c>
      <c r="S73" s="1"/>
      <c r="T73" s="1"/>
      <c r="U73" s="1"/>
      <c r="V73" s="21">
        <f>SUM(V65:V72)</f>
        <v>16.767100000000003</v>
      </c>
      <c r="X73" s="1" t="s">
        <v>15</v>
      </c>
      <c r="Y73" s="1">
        <v>7</v>
      </c>
      <c r="Z73" s="1" t="s">
        <v>22</v>
      </c>
      <c r="AA73" s="1">
        <v>3.7819999999999999E-2</v>
      </c>
      <c r="AB73" s="17">
        <f t="shared" si="76"/>
        <v>0.26473999999999998</v>
      </c>
      <c r="AD73" s="1" t="s">
        <v>41</v>
      </c>
      <c r="AE73" s="1">
        <f>SUM(AE65:AE72)</f>
        <v>918</v>
      </c>
      <c r="AF73" s="1" t="s">
        <v>129</v>
      </c>
      <c r="AG73" s="55">
        <v>896</v>
      </c>
      <c r="AH73" s="56"/>
      <c r="AJ73" s="1" t="s">
        <v>41</v>
      </c>
      <c r="AK73" s="1">
        <f>SUM(AK64:AK72)</f>
        <v>560</v>
      </c>
      <c r="AL73" s="1" t="s">
        <v>129</v>
      </c>
      <c r="AM73" s="55">
        <v>465</v>
      </c>
      <c r="AN73" s="56"/>
    </row>
    <row r="74" spans="1:40" x14ac:dyDescent="0.2">
      <c r="A74" s="1" t="s">
        <v>86</v>
      </c>
      <c r="B74" s="3">
        <v>126</v>
      </c>
      <c r="C74" s="5" t="s">
        <v>12</v>
      </c>
      <c r="D74" s="6">
        <f t="shared" si="74"/>
        <v>0.126</v>
      </c>
      <c r="F74" s="1" t="s">
        <v>613</v>
      </c>
      <c r="G74" s="1">
        <v>520</v>
      </c>
      <c r="H74" s="1" t="s">
        <v>129</v>
      </c>
      <c r="I74" s="55" t="s">
        <v>580</v>
      </c>
      <c r="J74" s="56"/>
      <c r="L74" s="89" t="s">
        <v>817</v>
      </c>
      <c r="M74" s="91"/>
      <c r="X74" s="1" t="s">
        <v>177</v>
      </c>
      <c r="Y74" s="1">
        <v>5</v>
      </c>
      <c r="Z74" s="1" t="s">
        <v>22</v>
      </c>
      <c r="AA74" s="1">
        <v>0.14799999999999999</v>
      </c>
      <c r="AB74" s="17">
        <f t="shared" si="76"/>
        <v>0.74</v>
      </c>
      <c r="AD74" s="33" t="s">
        <v>240</v>
      </c>
      <c r="AE74" s="35">
        <f>AE73/AG73</f>
        <v>1.0245535714285714</v>
      </c>
      <c r="AF74" s="33" t="s">
        <v>129</v>
      </c>
      <c r="AG74" s="57" t="s">
        <v>668</v>
      </c>
      <c r="AH74" s="58"/>
      <c r="AJ74" s="33" t="s">
        <v>240</v>
      </c>
      <c r="AK74" s="35">
        <f>AK73/AM73</f>
        <v>1.2043010752688172</v>
      </c>
      <c r="AL74" s="33" t="s">
        <v>129</v>
      </c>
      <c r="AM74" s="57" t="s">
        <v>699</v>
      </c>
      <c r="AN74" s="58"/>
    </row>
    <row r="75" spans="1:40" x14ac:dyDescent="0.2">
      <c r="A75" s="1" t="s">
        <v>183</v>
      </c>
      <c r="B75" s="3">
        <v>167</v>
      </c>
      <c r="C75" s="5" t="s">
        <v>12</v>
      </c>
      <c r="D75" s="6">
        <f t="shared" si="74"/>
        <v>0.16700000000000001</v>
      </c>
      <c r="F75" s="1" t="s">
        <v>638</v>
      </c>
      <c r="G75" s="1">
        <v>55</v>
      </c>
      <c r="H75" s="1" t="s">
        <v>129</v>
      </c>
      <c r="I75" s="55" t="s">
        <v>616</v>
      </c>
      <c r="J75" s="56"/>
      <c r="L75" s="43" t="s">
        <v>415</v>
      </c>
      <c r="M75" s="43">
        <f>P58</f>
        <v>19.355</v>
      </c>
      <c r="R75" s="85" t="s">
        <v>127</v>
      </c>
      <c r="S75" s="85"/>
      <c r="T75" s="85"/>
      <c r="U75" s="85"/>
      <c r="V75" s="85"/>
      <c r="X75" s="1" t="s">
        <v>103</v>
      </c>
      <c r="Y75" s="1">
        <v>1</v>
      </c>
      <c r="Z75" s="1" t="s">
        <v>22</v>
      </c>
      <c r="AA75" s="1">
        <v>9.7799999999999998E-2</v>
      </c>
      <c r="AB75" s="17">
        <f t="shared" si="76"/>
        <v>9.7799999999999998E-2</v>
      </c>
    </row>
    <row r="76" spans="1:40" x14ac:dyDescent="0.2">
      <c r="A76" s="1" t="s">
        <v>184</v>
      </c>
      <c r="B76" s="3">
        <v>133.6</v>
      </c>
      <c r="C76" s="5" t="s">
        <v>12</v>
      </c>
      <c r="D76" s="6">
        <f t="shared" si="74"/>
        <v>0.1336</v>
      </c>
      <c r="F76" s="1" t="s">
        <v>651</v>
      </c>
      <c r="G76" s="1">
        <v>20</v>
      </c>
      <c r="H76" s="1" t="s">
        <v>129</v>
      </c>
      <c r="I76" s="55" t="s">
        <v>616</v>
      </c>
      <c r="J76" s="56"/>
      <c r="L76" s="1" t="s">
        <v>496</v>
      </c>
      <c r="M76" s="1">
        <f>M72*I82</f>
        <v>17.260906040268456</v>
      </c>
      <c r="R76" s="1" t="s">
        <v>561</v>
      </c>
      <c r="S76" s="1">
        <v>135</v>
      </c>
      <c r="T76" s="1" t="s">
        <v>129</v>
      </c>
      <c r="U76" s="55">
        <v>384</v>
      </c>
      <c r="V76" s="56"/>
      <c r="X76" s="1" t="s">
        <v>185</v>
      </c>
      <c r="Y76" s="1">
        <v>3.5</v>
      </c>
      <c r="Z76" s="1" t="s">
        <v>22</v>
      </c>
      <c r="AA76" s="1">
        <v>0.32900000000000001</v>
      </c>
      <c r="AB76" s="17">
        <f t="shared" si="76"/>
        <v>1.1515</v>
      </c>
      <c r="AD76" s="79" t="s">
        <v>114</v>
      </c>
      <c r="AE76" s="81"/>
      <c r="AJ76" s="101" t="s">
        <v>9</v>
      </c>
      <c r="AK76" s="102"/>
    </row>
    <row r="77" spans="1:40" x14ac:dyDescent="0.2">
      <c r="A77" s="1" t="s">
        <v>186</v>
      </c>
      <c r="B77" s="3">
        <v>113.6</v>
      </c>
      <c r="C77" s="5" t="s">
        <v>12</v>
      </c>
      <c r="D77" s="6">
        <f t="shared" si="74"/>
        <v>0.11359999999999999</v>
      </c>
      <c r="F77" s="1" t="s">
        <v>657</v>
      </c>
      <c r="G77" s="1">
        <v>30</v>
      </c>
      <c r="H77" s="1" t="s">
        <v>129</v>
      </c>
      <c r="I77" s="55"/>
      <c r="J77" s="56"/>
      <c r="L77" s="33" t="s">
        <v>680</v>
      </c>
      <c r="M77" s="21">
        <f>SUM(M75:M76)</f>
        <v>36.615906040268456</v>
      </c>
      <c r="R77" s="1" t="s">
        <v>590</v>
      </c>
      <c r="S77" s="1">
        <v>25</v>
      </c>
      <c r="T77" s="1" t="s">
        <v>129</v>
      </c>
      <c r="U77" s="55">
        <v>384</v>
      </c>
      <c r="V77" s="56"/>
      <c r="X77" s="1" t="s">
        <v>41</v>
      </c>
      <c r="Y77" s="1"/>
      <c r="Z77" s="1"/>
      <c r="AA77" s="1"/>
      <c r="AB77" s="21">
        <f>SUM(AB70:AB76)</f>
        <v>14.077860000000001</v>
      </c>
      <c r="AD77" s="43" t="s">
        <v>415</v>
      </c>
      <c r="AE77" s="43">
        <f>AH46</f>
        <v>14.888400000000001</v>
      </c>
      <c r="AJ77" s="43" t="s">
        <v>415</v>
      </c>
      <c r="AK77" s="43">
        <f>AN61</f>
        <v>25.406000000000002</v>
      </c>
    </row>
    <row r="78" spans="1:40" x14ac:dyDescent="0.2">
      <c r="A78" s="1" t="s">
        <v>51</v>
      </c>
      <c r="B78" s="4">
        <v>91</v>
      </c>
      <c r="C78" s="5" t="s">
        <v>12</v>
      </c>
      <c r="D78" s="6">
        <f t="shared" si="74"/>
        <v>9.0999999999999998E-2</v>
      </c>
      <c r="F78" s="1" t="s">
        <v>652</v>
      </c>
      <c r="G78" s="1">
        <v>60</v>
      </c>
      <c r="H78" s="1" t="s">
        <v>129</v>
      </c>
      <c r="I78" s="55">
        <v>315</v>
      </c>
      <c r="J78" s="56"/>
      <c r="R78" s="1" t="s">
        <v>595</v>
      </c>
      <c r="S78" s="1">
        <v>5</v>
      </c>
      <c r="T78" s="1" t="s">
        <v>129</v>
      </c>
      <c r="U78" s="55">
        <v>384</v>
      </c>
      <c r="V78" s="56"/>
      <c r="AD78" s="1" t="s">
        <v>496</v>
      </c>
      <c r="AE78" s="1">
        <f>$I$82*AE74</f>
        <v>6.4034598214285712</v>
      </c>
      <c r="AJ78" s="1" t="s">
        <v>496</v>
      </c>
      <c r="AK78" s="1">
        <f>AK74*I82</f>
        <v>7.5268817204301079</v>
      </c>
    </row>
    <row r="79" spans="1:40" x14ac:dyDescent="0.2">
      <c r="A79" s="1" t="s">
        <v>56</v>
      </c>
      <c r="B79" s="4">
        <v>105.6</v>
      </c>
      <c r="C79" s="5" t="s">
        <v>12</v>
      </c>
      <c r="D79" s="6">
        <f t="shared" si="74"/>
        <v>0.1056</v>
      </c>
      <c r="F79" s="1" t="s">
        <v>41</v>
      </c>
      <c r="G79" s="1">
        <f>SUM(G69:G78)</f>
        <v>951.13105536332182</v>
      </c>
      <c r="H79" s="1" t="s">
        <v>129</v>
      </c>
      <c r="I79" s="55">
        <v>315</v>
      </c>
      <c r="J79" s="56"/>
      <c r="R79" s="1" t="s">
        <v>596</v>
      </c>
      <c r="S79" s="1">
        <v>20</v>
      </c>
      <c r="T79" s="1" t="s">
        <v>129</v>
      </c>
      <c r="U79" s="55">
        <v>384</v>
      </c>
      <c r="V79" s="56"/>
      <c r="X79" s="75" t="s">
        <v>187</v>
      </c>
      <c r="Y79" s="76"/>
      <c r="Z79" s="76"/>
      <c r="AA79" s="76"/>
      <c r="AB79" s="77"/>
      <c r="AD79" s="33" t="s">
        <v>680</v>
      </c>
      <c r="AE79" s="21">
        <f>SUM(AE77:AE78)</f>
        <v>21.291859821428574</v>
      </c>
      <c r="AJ79" s="33" t="s">
        <v>680</v>
      </c>
      <c r="AK79" s="21">
        <f>SUM(AK77:AK78)</f>
        <v>32.93288172043011</v>
      </c>
    </row>
    <row r="80" spans="1:40" x14ac:dyDescent="0.2">
      <c r="A80" s="1" t="s">
        <v>188</v>
      </c>
      <c r="B80" s="4">
        <v>133</v>
      </c>
      <c r="C80" s="5" t="s">
        <v>12</v>
      </c>
      <c r="D80" s="6">
        <f t="shared" si="74"/>
        <v>0.13300000000000001</v>
      </c>
      <c r="F80" s="33" t="s">
        <v>240</v>
      </c>
      <c r="G80" s="35">
        <f>G79/I79</f>
        <v>3.0194636678200695</v>
      </c>
      <c r="H80" s="33" t="s">
        <v>129</v>
      </c>
      <c r="I80" s="57" t="s">
        <v>695</v>
      </c>
      <c r="J80" s="58"/>
      <c r="R80" s="1" t="s">
        <v>597</v>
      </c>
      <c r="S80" s="1">
        <v>70</v>
      </c>
      <c r="T80" s="1" t="s">
        <v>129</v>
      </c>
      <c r="U80" s="55">
        <v>384</v>
      </c>
      <c r="V80" s="56"/>
      <c r="X80" s="1" t="s">
        <v>178</v>
      </c>
      <c r="Y80" s="1">
        <v>11.9</v>
      </c>
      <c r="Z80" s="1" t="s">
        <v>22</v>
      </c>
      <c r="AA80" s="20">
        <v>6.2199999999999998E-2</v>
      </c>
      <c r="AB80" s="17">
        <f>AA80*Y80</f>
        <v>0.74017999999999995</v>
      </c>
    </row>
    <row r="81" spans="1:31" x14ac:dyDescent="0.2">
      <c r="A81" s="1" t="s">
        <v>189</v>
      </c>
      <c r="B81" s="4">
        <v>147.6</v>
      </c>
      <c r="C81" s="5" t="s">
        <v>12</v>
      </c>
      <c r="D81" s="6">
        <f t="shared" si="74"/>
        <v>0.14759999999999998</v>
      </c>
      <c r="R81" s="1" t="s">
        <v>600</v>
      </c>
      <c r="S81" s="1">
        <v>103</v>
      </c>
      <c r="T81" s="1" t="s">
        <v>129</v>
      </c>
      <c r="U81" s="55">
        <v>420</v>
      </c>
      <c r="V81" s="56"/>
      <c r="X81" s="1" t="s">
        <v>180</v>
      </c>
      <c r="Y81" s="1">
        <v>24</v>
      </c>
      <c r="Z81" s="1" t="s">
        <v>22</v>
      </c>
      <c r="AA81" s="1">
        <v>0.14863000000000001</v>
      </c>
      <c r="AB81" s="17">
        <f t="shared" ref="AB81:AB85" si="77">AA81*Y81</f>
        <v>3.5671200000000001</v>
      </c>
      <c r="AD81" s="79" t="s">
        <v>669</v>
      </c>
      <c r="AE81" s="81"/>
    </row>
    <row r="82" spans="1:31" x14ac:dyDescent="0.2">
      <c r="A82" s="1" t="s">
        <v>190</v>
      </c>
      <c r="B82" s="4">
        <v>90</v>
      </c>
      <c r="C82" s="5" t="s">
        <v>12</v>
      </c>
      <c r="D82" s="6">
        <f t="shared" si="74"/>
        <v>0.09</v>
      </c>
      <c r="F82" s="1" t="s">
        <v>503</v>
      </c>
      <c r="G82" s="1">
        <v>375</v>
      </c>
      <c r="H82" s="1" t="s">
        <v>494</v>
      </c>
      <c r="I82" s="1">
        <f>G82/60</f>
        <v>6.25</v>
      </c>
      <c r="J82" s="1" t="s">
        <v>129</v>
      </c>
      <c r="R82" s="1" t="s">
        <v>606</v>
      </c>
      <c r="S82" s="1">
        <v>80</v>
      </c>
      <c r="T82" s="1" t="s">
        <v>129</v>
      </c>
      <c r="U82" s="55" t="s">
        <v>607</v>
      </c>
      <c r="V82" s="56"/>
      <c r="X82" s="1" t="s">
        <v>182</v>
      </c>
      <c r="Y82" s="1">
        <v>0</v>
      </c>
      <c r="Z82" s="1" t="s">
        <v>22</v>
      </c>
      <c r="AA82" s="1">
        <v>2.588E-2</v>
      </c>
      <c r="AB82" s="17">
        <f t="shared" si="77"/>
        <v>0</v>
      </c>
      <c r="AD82" s="43" t="s">
        <v>415</v>
      </c>
      <c r="AE82" s="43">
        <f>AH62</f>
        <v>10.039400000000001</v>
      </c>
    </row>
    <row r="83" spans="1:31" x14ac:dyDescent="0.2">
      <c r="A83" s="1" t="s">
        <v>191</v>
      </c>
      <c r="B83" s="4">
        <v>96</v>
      </c>
      <c r="C83" s="5" t="s">
        <v>12</v>
      </c>
      <c r="D83" s="6">
        <f t="shared" si="74"/>
        <v>9.6000000000000002E-2</v>
      </c>
      <c r="R83" s="1" t="s">
        <v>654</v>
      </c>
      <c r="S83" s="1">
        <v>30</v>
      </c>
      <c r="T83" s="1" t="s">
        <v>129</v>
      </c>
      <c r="U83" s="55" t="s">
        <v>656</v>
      </c>
      <c r="V83" s="56"/>
      <c r="X83" s="1" t="s">
        <v>15</v>
      </c>
      <c r="Y83" s="1">
        <v>2</v>
      </c>
      <c r="Z83" s="1" t="s">
        <v>22</v>
      </c>
      <c r="AA83" s="1">
        <v>3.7819999999999999E-2</v>
      </c>
      <c r="AB83" s="17">
        <f t="shared" si="77"/>
        <v>7.5639999999999999E-2</v>
      </c>
      <c r="AD83" s="1" t="s">
        <v>496</v>
      </c>
      <c r="AE83" s="1">
        <f>$I$82*$AE$74</f>
        <v>6.4034598214285712</v>
      </c>
    </row>
    <row r="84" spans="1:31" x14ac:dyDescent="0.2">
      <c r="A84" s="1" t="s">
        <v>192</v>
      </c>
      <c r="B84" s="3">
        <v>126.4</v>
      </c>
      <c r="C84" s="5" t="s">
        <v>12</v>
      </c>
      <c r="D84" s="6">
        <f t="shared" si="74"/>
        <v>0.12640000000000001</v>
      </c>
      <c r="F84" s="98" t="s">
        <v>730</v>
      </c>
      <c r="G84" s="99"/>
      <c r="R84" s="1" t="s">
        <v>655</v>
      </c>
      <c r="S84" s="1">
        <v>35</v>
      </c>
      <c r="T84" s="1" t="s">
        <v>129</v>
      </c>
      <c r="U84" s="55">
        <v>384</v>
      </c>
      <c r="V84" s="56"/>
      <c r="X84" s="1" t="s">
        <v>177</v>
      </c>
      <c r="Y84" s="1">
        <v>2.5</v>
      </c>
      <c r="Z84" s="1" t="s">
        <v>22</v>
      </c>
      <c r="AA84" s="1">
        <v>0.14799999999999999</v>
      </c>
      <c r="AB84" s="17">
        <f t="shared" si="77"/>
        <v>0.37</v>
      </c>
      <c r="AD84" s="33" t="s">
        <v>680</v>
      </c>
      <c r="AE84" s="21">
        <f>SUM(AE82:AE83)</f>
        <v>16.44285982142857</v>
      </c>
    </row>
    <row r="85" spans="1:31" x14ac:dyDescent="0.2">
      <c r="A85" s="1" t="s">
        <v>193</v>
      </c>
      <c r="B85" s="3">
        <v>119</v>
      </c>
      <c r="C85" s="5" t="s">
        <v>12</v>
      </c>
      <c r="D85" s="6">
        <f t="shared" si="74"/>
        <v>0.11899999999999999</v>
      </c>
      <c r="F85" s="43" t="s">
        <v>415</v>
      </c>
      <c r="G85" s="43">
        <f>J54</f>
        <v>6.36</v>
      </c>
      <c r="R85" s="1" t="s">
        <v>657</v>
      </c>
      <c r="S85" s="1">
        <v>30</v>
      </c>
      <c r="T85" s="1" t="s">
        <v>129</v>
      </c>
      <c r="U85" s="55"/>
      <c r="V85" s="56"/>
      <c r="X85" s="1" t="s">
        <v>103</v>
      </c>
      <c r="Y85" s="1">
        <v>0.5</v>
      </c>
      <c r="Z85" s="1" t="s">
        <v>22</v>
      </c>
      <c r="AA85" s="1">
        <v>9.7799999999999998E-2</v>
      </c>
      <c r="AB85" s="17">
        <f t="shared" si="77"/>
        <v>4.8899999999999999E-2</v>
      </c>
    </row>
    <row r="86" spans="1:31" x14ac:dyDescent="0.2">
      <c r="A86" s="1" t="s">
        <v>194</v>
      </c>
      <c r="B86" s="3">
        <v>88</v>
      </c>
      <c r="C86" s="5" t="s">
        <v>12</v>
      </c>
      <c r="D86" s="6">
        <f t="shared" si="74"/>
        <v>8.7999999999999995E-2</v>
      </c>
      <c r="F86" s="1" t="s">
        <v>496</v>
      </c>
      <c r="G86" s="1">
        <f>G80*I82</f>
        <v>18.871647923875436</v>
      </c>
      <c r="R86" s="1" t="s">
        <v>41</v>
      </c>
      <c r="S86" s="1">
        <f>SUM(S76:S85)</f>
        <v>533</v>
      </c>
      <c r="T86" s="1" t="s">
        <v>697</v>
      </c>
      <c r="U86" s="55">
        <v>384</v>
      </c>
      <c r="V86" s="56"/>
      <c r="X86" s="1" t="s">
        <v>41</v>
      </c>
      <c r="Y86" s="1"/>
      <c r="Z86" s="1"/>
      <c r="AA86" s="1"/>
      <c r="AB86" s="21">
        <f>SUM(AB80:AB85)</f>
        <v>4.8018399999999994</v>
      </c>
      <c r="AD86" s="79" t="s">
        <v>670</v>
      </c>
      <c r="AE86" s="81"/>
    </row>
    <row r="87" spans="1:31" x14ac:dyDescent="0.2">
      <c r="A87" s="1" t="s">
        <v>195</v>
      </c>
      <c r="B87" s="3">
        <v>73</v>
      </c>
      <c r="C87" s="5" t="s">
        <v>12</v>
      </c>
      <c r="D87" s="6">
        <f t="shared" si="74"/>
        <v>7.2999999999999995E-2</v>
      </c>
      <c r="F87" s="33" t="s">
        <v>680</v>
      </c>
      <c r="G87" s="21">
        <f>SUM(G85:G86)</f>
        <v>25.231647923875435</v>
      </c>
      <c r="R87" s="33" t="s">
        <v>240</v>
      </c>
      <c r="S87" s="35">
        <f>S86/U86</f>
        <v>1.3880208333333333</v>
      </c>
      <c r="T87" s="33" t="s">
        <v>129</v>
      </c>
      <c r="U87" s="57" t="s">
        <v>698</v>
      </c>
      <c r="V87" s="58"/>
      <c r="AD87" s="43" t="s">
        <v>415</v>
      </c>
      <c r="AE87" s="43">
        <f>AH54</f>
        <v>3.9417999999999997</v>
      </c>
    </row>
    <row r="88" spans="1:31" x14ac:dyDescent="0.2">
      <c r="A88" s="1" t="s">
        <v>92</v>
      </c>
      <c r="B88" s="3">
        <v>138</v>
      </c>
      <c r="C88" s="5" t="s">
        <v>12</v>
      </c>
      <c r="D88" s="6">
        <f t="shared" si="74"/>
        <v>0.13800000000000001</v>
      </c>
      <c r="X88" s="62" t="s">
        <v>127</v>
      </c>
      <c r="Y88" s="62"/>
      <c r="Z88" s="62"/>
      <c r="AA88" s="62"/>
      <c r="AB88" s="62"/>
      <c r="AD88" s="1" t="s">
        <v>496</v>
      </c>
      <c r="AE88" s="1">
        <f>$I$82*$AE$74</f>
        <v>6.4034598214285712</v>
      </c>
    </row>
    <row r="89" spans="1:31" x14ac:dyDescent="0.2">
      <c r="A89" s="1" t="s">
        <v>196</v>
      </c>
      <c r="B89" s="3">
        <v>77</v>
      </c>
      <c r="C89" s="5" t="s">
        <v>12</v>
      </c>
      <c r="D89" s="6">
        <f t="shared" si="74"/>
        <v>7.6999999999999999E-2</v>
      </c>
      <c r="R89" s="82" t="s">
        <v>6</v>
      </c>
      <c r="S89" s="84"/>
      <c r="X89" s="1" t="s">
        <v>523</v>
      </c>
      <c r="Y89" s="1">
        <v>25</v>
      </c>
      <c r="Z89" s="1" t="s">
        <v>129</v>
      </c>
      <c r="AA89" s="55" t="s">
        <v>524</v>
      </c>
      <c r="AB89" s="56"/>
      <c r="AD89" s="33" t="s">
        <v>680</v>
      </c>
      <c r="AE89" s="21">
        <f>SUM(AE87:AE88)</f>
        <v>10.34525982142857</v>
      </c>
    </row>
    <row r="90" spans="1:31" x14ac:dyDescent="0.2">
      <c r="A90" s="1" t="s">
        <v>197</v>
      </c>
      <c r="B90" s="3">
        <v>109.2</v>
      </c>
      <c r="C90" s="5" t="s">
        <v>12</v>
      </c>
      <c r="D90" s="6">
        <f t="shared" si="74"/>
        <v>0.10920000000000001</v>
      </c>
      <c r="R90" s="43" t="s">
        <v>415</v>
      </c>
      <c r="S90" s="43">
        <f>V73</f>
        <v>16.767100000000003</v>
      </c>
      <c r="X90" s="1" t="s">
        <v>548</v>
      </c>
      <c r="Y90" s="1">
        <v>120</v>
      </c>
      <c r="Z90" s="1" t="s">
        <v>129</v>
      </c>
      <c r="AA90" s="55" t="s">
        <v>549</v>
      </c>
      <c r="AB90" s="56"/>
    </row>
    <row r="91" spans="1:31" x14ac:dyDescent="0.2">
      <c r="A91" s="1" t="s">
        <v>198</v>
      </c>
      <c r="B91" s="3">
        <v>95</v>
      </c>
      <c r="C91" s="5" t="s">
        <v>12</v>
      </c>
      <c r="D91" s="6">
        <f t="shared" si="74"/>
        <v>9.5000000000000001E-2</v>
      </c>
      <c r="R91" s="1" t="s">
        <v>496</v>
      </c>
      <c r="S91" s="1">
        <f>S87*I82</f>
        <v>8.6751302083333321</v>
      </c>
      <c r="X91" s="1" t="s">
        <v>622</v>
      </c>
      <c r="Y91" s="1">
        <v>40</v>
      </c>
      <c r="Z91" s="1" t="s">
        <v>129</v>
      </c>
      <c r="AA91" s="55" t="s">
        <v>623</v>
      </c>
      <c r="AB91" s="56"/>
    </row>
    <row r="92" spans="1:31" x14ac:dyDescent="0.2">
      <c r="A92" s="1" t="s">
        <v>84</v>
      </c>
      <c r="B92" s="3">
        <v>173</v>
      </c>
      <c r="C92" s="5" t="s">
        <v>12</v>
      </c>
      <c r="D92" s="6">
        <f t="shared" si="74"/>
        <v>0.17299999999999999</v>
      </c>
      <c r="R92" s="33" t="s">
        <v>680</v>
      </c>
      <c r="S92" s="21">
        <f>SUM(S90:S91)</f>
        <v>25.442230208333335</v>
      </c>
      <c r="X92" s="1" t="s">
        <v>624</v>
      </c>
      <c r="Y92" s="1">
        <v>10</v>
      </c>
      <c r="Z92" s="1" t="s">
        <v>129</v>
      </c>
      <c r="AA92" s="55" t="s">
        <v>623</v>
      </c>
      <c r="AB92" s="56"/>
    </row>
    <row r="93" spans="1:31" x14ac:dyDescent="0.2">
      <c r="A93" s="1" t="s">
        <v>199</v>
      </c>
      <c r="B93" s="3">
        <v>198</v>
      </c>
      <c r="C93" s="5" t="s">
        <v>12</v>
      </c>
      <c r="D93" s="6">
        <f t="shared" si="74"/>
        <v>0.19800000000000001</v>
      </c>
      <c r="X93" s="1" t="s">
        <v>642</v>
      </c>
      <c r="Y93" s="1">
        <v>105</v>
      </c>
      <c r="Z93" s="1" t="s">
        <v>129</v>
      </c>
      <c r="AA93" s="55" t="s">
        <v>643</v>
      </c>
      <c r="AB93" s="56"/>
    </row>
    <row r="94" spans="1:31" x14ac:dyDescent="0.2">
      <c r="A94" s="13" t="s">
        <v>87</v>
      </c>
      <c r="B94" s="3">
        <v>249</v>
      </c>
      <c r="C94" s="5" t="s">
        <v>12</v>
      </c>
      <c r="D94" s="6">
        <f t="shared" si="74"/>
        <v>0.249</v>
      </c>
      <c r="X94" s="1" t="s">
        <v>644</v>
      </c>
      <c r="Y94" s="1">
        <v>45</v>
      </c>
      <c r="Z94" s="1" t="s">
        <v>129</v>
      </c>
      <c r="AA94" s="55" t="s">
        <v>643</v>
      </c>
      <c r="AB94" s="56"/>
    </row>
    <row r="95" spans="1:31" x14ac:dyDescent="0.2">
      <c r="A95" s="1" t="s">
        <v>59</v>
      </c>
      <c r="B95" s="3">
        <v>43.17</v>
      </c>
      <c r="C95" s="5" t="s">
        <v>12</v>
      </c>
      <c r="D95" s="6">
        <f t="shared" si="74"/>
        <v>4.317E-2</v>
      </c>
      <c r="X95" s="1" t="s">
        <v>645</v>
      </c>
      <c r="Y95" s="1">
        <v>40</v>
      </c>
      <c r="Z95" s="1" t="s">
        <v>129</v>
      </c>
      <c r="AA95" s="55" t="s">
        <v>643</v>
      </c>
      <c r="AB95" s="56"/>
    </row>
    <row r="96" spans="1:31" x14ac:dyDescent="0.2">
      <c r="A96" s="1" t="s">
        <v>25</v>
      </c>
      <c r="B96" s="3">
        <v>18.84</v>
      </c>
      <c r="C96" s="5" t="s">
        <v>12</v>
      </c>
      <c r="D96" s="6">
        <f t="shared" si="74"/>
        <v>1.8839999999999999E-2</v>
      </c>
      <c r="X96" s="1" t="s">
        <v>657</v>
      </c>
      <c r="Y96" s="1">
        <v>30</v>
      </c>
      <c r="Z96" s="1" t="s">
        <v>129</v>
      </c>
      <c r="AA96" s="55"/>
      <c r="AB96" s="56"/>
    </row>
    <row r="97" spans="1:28" x14ac:dyDescent="0.2">
      <c r="A97" s="1" t="s">
        <v>39</v>
      </c>
      <c r="B97" s="3">
        <v>56.15</v>
      </c>
      <c r="C97" s="5" t="s">
        <v>12</v>
      </c>
      <c r="D97" s="6">
        <f t="shared" si="74"/>
        <v>5.6149999999999999E-2</v>
      </c>
      <c r="X97" s="1" t="s">
        <v>658</v>
      </c>
      <c r="Y97" s="1">
        <v>20</v>
      </c>
      <c r="Z97" s="1" t="s">
        <v>129</v>
      </c>
      <c r="AA97" s="55" t="s">
        <v>662</v>
      </c>
      <c r="AB97" s="56"/>
    </row>
    <row r="98" spans="1:28" x14ac:dyDescent="0.2">
      <c r="A98" s="1" t="s">
        <v>24</v>
      </c>
      <c r="B98" s="3">
        <v>76.06</v>
      </c>
      <c r="C98" s="5" t="s">
        <v>12</v>
      </c>
      <c r="D98" s="6">
        <f t="shared" si="74"/>
        <v>7.6060000000000003E-2</v>
      </c>
      <c r="X98" s="1" t="s">
        <v>659</v>
      </c>
      <c r="Y98" s="1">
        <v>40</v>
      </c>
      <c r="Z98" s="1" t="s">
        <v>129</v>
      </c>
      <c r="AA98" s="55" t="s">
        <v>631</v>
      </c>
      <c r="AB98" s="56"/>
    </row>
    <row r="99" spans="1:28" x14ac:dyDescent="0.2">
      <c r="A99" s="1" t="s">
        <v>200</v>
      </c>
      <c r="B99" s="3">
        <v>43.5</v>
      </c>
      <c r="C99" s="5" t="s">
        <v>12</v>
      </c>
      <c r="D99" s="6">
        <f t="shared" si="74"/>
        <v>4.3499999999999997E-2</v>
      </c>
      <c r="X99" s="1" t="s">
        <v>180</v>
      </c>
      <c r="Y99" s="1">
        <v>50</v>
      </c>
      <c r="Z99" s="1" t="s">
        <v>129</v>
      </c>
      <c r="AA99" s="55" t="s">
        <v>643</v>
      </c>
      <c r="AB99" s="56"/>
    </row>
    <row r="100" spans="1:28" x14ac:dyDescent="0.2">
      <c r="A100" s="1" t="s">
        <v>201</v>
      </c>
      <c r="B100" s="3">
        <v>123.7</v>
      </c>
      <c r="C100" s="5" t="s">
        <v>12</v>
      </c>
      <c r="D100" s="6">
        <f t="shared" si="74"/>
        <v>0.1237</v>
      </c>
      <c r="X100" s="1" t="s">
        <v>41</v>
      </c>
      <c r="Y100" s="1">
        <f>SUM(Y89:Y99)</f>
        <v>525</v>
      </c>
      <c r="Z100" s="1" t="s">
        <v>129</v>
      </c>
      <c r="AA100" s="55">
        <v>350</v>
      </c>
      <c r="AB100" s="56"/>
    </row>
    <row r="101" spans="1:28" x14ac:dyDescent="0.2">
      <c r="A101" s="1" t="s">
        <v>28</v>
      </c>
      <c r="B101" s="3">
        <v>71</v>
      </c>
      <c r="C101" s="5" t="s">
        <v>12</v>
      </c>
      <c r="D101" s="6">
        <f t="shared" si="74"/>
        <v>7.0999999999999994E-2</v>
      </c>
      <c r="X101" s="33" t="s">
        <v>240</v>
      </c>
      <c r="Y101" s="35">
        <f>Y100/AA100</f>
        <v>1.5</v>
      </c>
      <c r="Z101" s="33"/>
      <c r="AA101" s="57" t="s">
        <v>695</v>
      </c>
      <c r="AB101" s="58"/>
    </row>
    <row r="102" spans="1:28" x14ac:dyDescent="0.2">
      <c r="A102" s="8" t="s">
        <v>68</v>
      </c>
      <c r="B102" s="14">
        <v>45</v>
      </c>
      <c r="C102" s="15" t="s">
        <v>12</v>
      </c>
      <c r="D102" s="16">
        <f t="shared" si="74"/>
        <v>4.4999999999999998E-2</v>
      </c>
    </row>
    <row r="103" spans="1:28" x14ac:dyDescent="0.2">
      <c r="A103" s="8" t="s">
        <v>34</v>
      </c>
      <c r="B103" s="14">
        <v>188</v>
      </c>
      <c r="C103" s="8" t="s">
        <v>12</v>
      </c>
      <c r="D103" s="14">
        <f t="shared" si="74"/>
        <v>0.188</v>
      </c>
      <c r="X103" s="75" t="s">
        <v>7</v>
      </c>
      <c r="Y103" s="77"/>
    </row>
    <row r="104" spans="1:28" x14ac:dyDescent="0.2">
      <c r="A104" s="8" t="s">
        <v>202</v>
      </c>
      <c r="B104" s="8">
        <v>139.30000000000001</v>
      </c>
      <c r="C104" s="8" t="s">
        <v>12</v>
      </c>
      <c r="D104" s="14">
        <f t="shared" si="74"/>
        <v>0.13930000000000001</v>
      </c>
      <c r="X104" s="43" t="s">
        <v>415</v>
      </c>
      <c r="Y104" s="43">
        <f>AB77</f>
        <v>14.077860000000001</v>
      </c>
    </row>
    <row r="105" spans="1:28" x14ac:dyDescent="0.2">
      <c r="A105" s="8" t="s">
        <v>23</v>
      </c>
      <c r="B105" s="8">
        <v>0</v>
      </c>
      <c r="C105" s="8" t="s">
        <v>12</v>
      </c>
      <c r="D105" s="8">
        <f>B105/1000</f>
        <v>0</v>
      </c>
      <c r="X105" s="1" t="s">
        <v>496</v>
      </c>
      <c r="Y105" s="1">
        <f>Y101*I82</f>
        <v>9.375</v>
      </c>
    </row>
    <row r="106" spans="1:28" x14ac:dyDescent="0.2">
      <c r="A106" s="1" t="s">
        <v>87</v>
      </c>
      <c r="B106" s="1">
        <v>249</v>
      </c>
      <c r="C106" s="1" t="s">
        <v>12</v>
      </c>
      <c r="D106" s="1">
        <f>B106/1000</f>
        <v>0.249</v>
      </c>
      <c r="X106" s="33" t="s">
        <v>680</v>
      </c>
      <c r="Y106" s="21">
        <f>SUM(Y104:Y105)</f>
        <v>23.452860000000001</v>
      </c>
    </row>
    <row r="107" spans="1:28" x14ac:dyDescent="0.2">
      <c r="A107" s="1" t="s">
        <v>132</v>
      </c>
      <c r="B107" s="1"/>
      <c r="C107" s="1"/>
      <c r="D107" s="1">
        <f t="shared" ref="D107:D111" si="78">B107/1000</f>
        <v>0</v>
      </c>
    </row>
    <row r="108" spans="1:28" x14ac:dyDescent="0.2">
      <c r="A108" s="1" t="s">
        <v>53</v>
      </c>
      <c r="B108" s="1">
        <v>512</v>
      </c>
      <c r="C108" s="1" t="s">
        <v>12</v>
      </c>
      <c r="D108" s="1">
        <f t="shared" si="78"/>
        <v>0.51200000000000001</v>
      </c>
    </row>
    <row r="109" spans="1:28" x14ac:dyDescent="0.2">
      <c r="A109" s="8" t="s">
        <v>32</v>
      </c>
      <c r="B109" s="8">
        <v>612</v>
      </c>
      <c r="C109" s="8" t="s">
        <v>12</v>
      </c>
      <c r="D109" s="8">
        <f t="shared" si="78"/>
        <v>0.61199999999999999</v>
      </c>
    </row>
    <row r="110" spans="1:28" x14ac:dyDescent="0.2">
      <c r="A110" s="1" t="s">
        <v>203</v>
      </c>
      <c r="B110" s="1">
        <v>612</v>
      </c>
      <c r="C110" s="1" t="s">
        <v>12</v>
      </c>
      <c r="D110" s="1">
        <f t="shared" si="78"/>
        <v>0.61199999999999999</v>
      </c>
    </row>
    <row r="111" spans="1:28" x14ac:dyDescent="0.2">
      <c r="A111" s="8" t="s">
        <v>37</v>
      </c>
      <c r="B111" s="8">
        <v>20.149999999999999</v>
      </c>
      <c r="C111" s="8" t="s">
        <v>61</v>
      </c>
      <c r="D111" s="8">
        <f t="shared" si="78"/>
        <v>2.0149999999999998E-2</v>
      </c>
    </row>
    <row r="112" spans="1:28" x14ac:dyDescent="0.2">
      <c r="A112" s="1" t="s">
        <v>72</v>
      </c>
      <c r="B112" s="1">
        <v>14.6</v>
      </c>
      <c r="C112" s="1" t="s">
        <v>73</v>
      </c>
      <c r="D112" s="1">
        <f>B112*1</f>
        <v>14.6</v>
      </c>
    </row>
  </sheetData>
  <mergeCells count="153">
    <mergeCell ref="AP36:AT36"/>
    <mergeCell ref="F64:J64"/>
    <mergeCell ref="I66:J66"/>
    <mergeCell ref="R89:S89"/>
    <mergeCell ref="AA100:AB100"/>
    <mergeCell ref="X103:Y103"/>
    <mergeCell ref="AM73:AN73"/>
    <mergeCell ref="AJ76:AK76"/>
    <mergeCell ref="AP58:AQ58"/>
    <mergeCell ref="AG73:AH73"/>
    <mergeCell ref="AD76:AE76"/>
    <mergeCell ref="AD81:AE81"/>
    <mergeCell ref="AD86:AE86"/>
    <mergeCell ref="AM72:AN72"/>
    <mergeCell ref="AG67:AH67"/>
    <mergeCell ref="AG68:AH68"/>
    <mergeCell ref="AM68:AN68"/>
    <mergeCell ref="AM69:AN69"/>
    <mergeCell ref="U80:V80"/>
    <mergeCell ref="U81:V81"/>
    <mergeCell ref="U82:V82"/>
    <mergeCell ref="U83:V83"/>
    <mergeCell ref="U87:V87"/>
    <mergeCell ref="R75:V75"/>
    <mergeCell ref="U76:V76"/>
    <mergeCell ref="U77:V77"/>
    <mergeCell ref="I79:J79"/>
    <mergeCell ref="F84:G84"/>
    <mergeCell ref="L74:M74"/>
    <mergeCell ref="O71:P71"/>
    <mergeCell ref="U86:V86"/>
    <mergeCell ref="AS55:AT55"/>
    <mergeCell ref="AS56:AT56"/>
    <mergeCell ref="AS50:AT50"/>
    <mergeCell ref="AS51:AT51"/>
    <mergeCell ref="AS52:AT52"/>
    <mergeCell ref="AS54:AT54"/>
    <mergeCell ref="AS53:AT53"/>
    <mergeCell ref="F48:J48"/>
    <mergeCell ref="F56:J56"/>
    <mergeCell ref="X79:AB79"/>
    <mergeCell ref="X64:AB64"/>
    <mergeCell ref="AG69:AH69"/>
    <mergeCell ref="AG70:AH70"/>
    <mergeCell ref="AG71:AH71"/>
    <mergeCell ref="AG72:AH72"/>
    <mergeCell ref="AG74:AH74"/>
    <mergeCell ref="AD64:AH64"/>
    <mergeCell ref="AG65:AH65"/>
    <mergeCell ref="AG66:AH66"/>
    <mergeCell ref="L1:P1"/>
    <mergeCell ref="L3:P3"/>
    <mergeCell ref="L14:P14"/>
    <mergeCell ref="L22:P22"/>
    <mergeCell ref="L29:P29"/>
    <mergeCell ref="L41:P41"/>
    <mergeCell ref="L47:P47"/>
    <mergeCell ref="L52:P52"/>
    <mergeCell ref="F3:J3"/>
    <mergeCell ref="F1:J1"/>
    <mergeCell ref="F12:J12"/>
    <mergeCell ref="F23:J23"/>
    <mergeCell ref="F31:J31"/>
    <mergeCell ref="F38:J38"/>
    <mergeCell ref="X3:AB3"/>
    <mergeCell ref="X13:AB13"/>
    <mergeCell ref="X23:AB23"/>
    <mergeCell ref="X32:AB32"/>
    <mergeCell ref="X43:AB43"/>
    <mergeCell ref="X52:AB52"/>
    <mergeCell ref="R1:V1"/>
    <mergeCell ref="R3:V3"/>
    <mergeCell ref="R14:V14"/>
    <mergeCell ref="R24:V24"/>
    <mergeCell ref="R34:V34"/>
    <mergeCell ref="AD40:AH40"/>
    <mergeCell ref="AD48:AH48"/>
    <mergeCell ref="AD56:AH56"/>
    <mergeCell ref="AJ12:AN12"/>
    <mergeCell ref="AJ22:AN22"/>
    <mergeCell ref="AJ31:AN31"/>
    <mergeCell ref="AJ41:AN41"/>
    <mergeCell ref="AJ49:AN49"/>
    <mergeCell ref="AJ54:AN54"/>
    <mergeCell ref="AD17:AH17"/>
    <mergeCell ref="I80:J80"/>
    <mergeCell ref="F68:J68"/>
    <mergeCell ref="I69:J69"/>
    <mergeCell ref="I70:J70"/>
    <mergeCell ref="I71:J71"/>
    <mergeCell ref="I72:J72"/>
    <mergeCell ref="AP40:AT40"/>
    <mergeCell ref="AP49:AT49"/>
    <mergeCell ref="AP1:AT1"/>
    <mergeCell ref="AP3:AT3"/>
    <mergeCell ref="AP12:AT12"/>
    <mergeCell ref="AP18:AT18"/>
    <mergeCell ref="AP29:AT29"/>
    <mergeCell ref="AJ1:AN1"/>
    <mergeCell ref="AJ3:AN3"/>
    <mergeCell ref="X69:AB69"/>
    <mergeCell ref="AD1:AH1"/>
    <mergeCell ref="AD3:AH3"/>
    <mergeCell ref="AD27:AH27"/>
    <mergeCell ref="AD32:AH32"/>
    <mergeCell ref="R43:V43"/>
    <mergeCell ref="R55:V55"/>
    <mergeCell ref="R64:V64"/>
    <mergeCell ref="X1:AB1"/>
    <mergeCell ref="L60:P60"/>
    <mergeCell ref="O61:P61"/>
    <mergeCell ref="O62:P62"/>
    <mergeCell ref="O63:P63"/>
    <mergeCell ref="O64:P64"/>
    <mergeCell ref="I73:J73"/>
    <mergeCell ref="I74:J74"/>
    <mergeCell ref="I75:J75"/>
    <mergeCell ref="I78:J78"/>
    <mergeCell ref="I77:J77"/>
    <mergeCell ref="O68:P68"/>
    <mergeCell ref="O70:P70"/>
    <mergeCell ref="I65:J65"/>
    <mergeCell ref="U78:V78"/>
    <mergeCell ref="U79:V79"/>
    <mergeCell ref="U84:V84"/>
    <mergeCell ref="U85:V85"/>
    <mergeCell ref="AA93:AB93"/>
    <mergeCell ref="AA94:AB94"/>
    <mergeCell ref="AA95:AB95"/>
    <mergeCell ref="AA96:AB96"/>
    <mergeCell ref="AA101:AB101"/>
    <mergeCell ref="X88:AB88"/>
    <mergeCell ref="AA89:AB89"/>
    <mergeCell ref="AA90:AB90"/>
    <mergeCell ref="AA91:AB91"/>
    <mergeCell ref="AA92:AB92"/>
    <mergeCell ref="AA97:AB97"/>
    <mergeCell ref="AA98:AB98"/>
    <mergeCell ref="AA99:AB99"/>
    <mergeCell ref="AM70:AN70"/>
    <mergeCell ref="AM71:AN71"/>
    <mergeCell ref="AM74:AN74"/>
    <mergeCell ref="AJ63:AN63"/>
    <mergeCell ref="AM64:AN64"/>
    <mergeCell ref="AM65:AN65"/>
    <mergeCell ref="AM66:AN66"/>
    <mergeCell ref="AM67:AN67"/>
    <mergeCell ref="I76:J76"/>
    <mergeCell ref="O65:P65"/>
    <mergeCell ref="O66:P66"/>
    <mergeCell ref="O67:P67"/>
    <mergeCell ref="O69:P69"/>
    <mergeCell ref="O72:P72"/>
  </mergeCells>
  <phoneticPr fontId="3" alignment="center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003B-87E7-624E-9E00-BA467EDB9F75}">
  <dimension ref="A1:AH206"/>
  <sheetViews>
    <sheetView topLeftCell="Q18" zoomScaleNormal="150" zoomScaleSheetLayoutView="100" workbookViewId="0">
      <selection activeCell="AD38" sqref="AD38"/>
    </sheetView>
  </sheetViews>
  <sheetFormatPr defaultRowHeight="15" x14ac:dyDescent="0.2"/>
  <cols>
    <col min="1" max="1" width="30.265625" customWidth="1"/>
    <col min="2" max="2" width="12.375" customWidth="1"/>
    <col min="3" max="3" width="5.24609375" customWidth="1"/>
    <col min="6" max="6" width="28.25" customWidth="1"/>
    <col min="7" max="7" width="12.5078125" bestFit="1" customWidth="1"/>
    <col min="8" max="8" width="4.16796875" customWidth="1"/>
    <col min="10" max="10" width="8.875" bestFit="1" customWidth="1"/>
    <col min="12" max="12" width="20.04296875" customWidth="1"/>
    <col min="14" max="14" width="4.5703125" customWidth="1"/>
    <col min="16" max="16" width="8.7421875" bestFit="1" customWidth="1"/>
    <col min="18" max="18" width="23.26953125" customWidth="1"/>
    <col min="19" max="19" width="12.23828125" bestFit="1" customWidth="1"/>
    <col min="20" max="20" width="4.03515625" customWidth="1"/>
    <col min="24" max="24" width="21.7890625" customWidth="1"/>
    <col min="25" max="25" width="11.97265625" bestFit="1" customWidth="1"/>
    <col min="26" max="26" width="5.24609375" customWidth="1"/>
    <col min="30" max="30" width="22.05859375" customWidth="1"/>
    <col min="34" max="34" width="8.875" bestFit="1" customWidth="1"/>
  </cols>
  <sheetData>
    <row r="1" spans="1:34" ht="27.75" x14ac:dyDescent="0.2">
      <c r="A1" s="9" t="s">
        <v>0</v>
      </c>
      <c r="B1" s="10" t="s">
        <v>1</v>
      </c>
      <c r="C1" s="11" t="s">
        <v>2</v>
      </c>
      <c r="D1" s="12" t="s">
        <v>3</v>
      </c>
      <c r="F1" s="108" t="s">
        <v>204</v>
      </c>
      <c r="G1" s="108"/>
      <c r="H1" s="108"/>
      <c r="I1" s="108"/>
      <c r="J1" s="108"/>
      <c r="L1" s="86" t="s">
        <v>205</v>
      </c>
      <c r="M1" s="86"/>
      <c r="N1" s="86"/>
      <c r="O1" s="86"/>
      <c r="P1" s="86"/>
      <c r="R1" s="109" t="s">
        <v>206</v>
      </c>
      <c r="S1" s="109"/>
      <c r="T1" s="109"/>
      <c r="U1" s="109"/>
      <c r="V1" s="109"/>
      <c r="X1" s="107" t="s">
        <v>207</v>
      </c>
      <c r="Y1" s="107"/>
      <c r="Z1" s="107"/>
      <c r="AA1" s="107"/>
      <c r="AB1" s="107"/>
      <c r="AD1" s="105" t="s">
        <v>208</v>
      </c>
      <c r="AE1" s="105"/>
      <c r="AF1" s="105"/>
      <c r="AG1" s="105"/>
      <c r="AH1" s="105"/>
    </row>
    <row r="2" spans="1:34" x14ac:dyDescent="0.2">
      <c r="A2" s="1" t="s">
        <v>11</v>
      </c>
      <c r="B2" s="3">
        <v>69.03</v>
      </c>
      <c r="C2" s="5" t="s">
        <v>12</v>
      </c>
      <c r="D2" s="6">
        <f>B2/1000</f>
        <v>6.9030000000000008E-2</v>
      </c>
    </row>
    <row r="3" spans="1:34" x14ac:dyDescent="0.2">
      <c r="A3" s="1" t="s">
        <v>13</v>
      </c>
      <c r="B3" s="3">
        <v>129.1</v>
      </c>
      <c r="C3" s="5" t="s">
        <v>12</v>
      </c>
      <c r="D3" s="6">
        <f t="shared" ref="D3:D66" si="0">B3/1000</f>
        <v>0.12909999999999999</v>
      </c>
      <c r="F3" s="106" t="s">
        <v>209</v>
      </c>
      <c r="G3" s="106"/>
      <c r="H3" s="106"/>
      <c r="I3" s="106"/>
      <c r="J3" s="106"/>
      <c r="L3" s="62" t="s">
        <v>210</v>
      </c>
      <c r="M3" s="62"/>
      <c r="N3" s="62"/>
      <c r="O3" s="62"/>
      <c r="P3" s="62"/>
      <c r="R3" s="110" t="s">
        <v>210</v>
      </c>
      <c r="S3" s="110"/>
      <c r="T3" s="110"/>
      <c r="U3" s="110"/>
      <c r="V3" s="110"/>
      <c r="X3" s="112" t="s">
        <v>211</v>
      </c>
      <c r="Y3" s="112"/>
      <c r="Z3" s="112"/>
      <c r="AA3" s="112"/>
      <c r="AB3" s="112"/>
      <c r="AD3" s="111" t="s">
        <v>212</v>
      </c>
      <c r="AE3" s="111"/>
      <c r="AF3" s="111"/>
      <c r="AG3" s="111"/>
      <c r="AH3" s="111"/>
    </row>
    <row r="4" spans="1:34" x14ac:dyDescent="0.2">
      <c r="A4" s="1" t="s">
        <v>21</v>
      </c>
      <c r="B4" s="3">
        <v>11.59</v>
      </c>
      <c r="C4" s="5" t="s">
        <v>12</v>
      </c>
      <c r="D4" s="6">
        <f t="shared" si="0"/>
        <v>1.159E-2</v>
      </c>
      <c r="F4" s="1" t="s">
        <v>173</v>
      </c>
      <c r="G4" s="1">
        <v>4000</v>
      </c>
      <c r="H4" s="1" t="s">
        <v>22</v>
      </c>
      <c r="I4" s="1">
        <f>_xlfn.XLOOKUP(F4,A2:A112,D2:D112)</f>
        <v>0.16800000000000001</v>
      </c>
      <c r="J4" s="1">
        <f>I4*G4</f>
        <v>672</v>
      </c>
      <c r="L4" s="1" t="s">
        <v>26</v>
      </c>
      <c r="M4" s="1">
        <v>2500</v>
      </c>
      <c r="N4" s="1" t="s">
        <v>22</v>
      </c>
      <c r="O4" s="1">
        <f>_xlfn.XLOOKUP(L4,$A$2:$A$112,$D$2:$D$112)</f>
        <v>1.315E-2</v>
      </c>
      <c r="P4" s="1">
        <f>O4*M4</f>
        <v>32.875</v>
      </c>
      <c r="R4" s="1" t="s">
        <v>26</v>
      </c>
      <c r="S4" s="1">
        <v>2500</v>
      </c>
      <c r="T4" s="1" t="s">
        <v>22</v>
      </c>
      <c r="U4" s="1">
        <f>_xlfn.XLOOKUP(R4,$A$2:$A$112,$D$2:$D$112)</f>
        <v>1.315E-2</v>
      </c>
      <c r="V4" s="1">
        <f>U4*S4</f>
        <v>32.875</v>
      </c>
      <c r="X4" s="2" t="s">
        <v>111</v>
      </c>
      <c r="Y4" s="1">
        <v>500</v>
      </c>
      <c r="Z4" s="1" t="s">
        <v>22</v>
      </c>
      <c r="AA4" s="1">
        <f>_xlfn.XLOOKUP(X4,$A$2:$A$112,$D$2:$D$112)</f>
        <v>0.32980000000000004</v>
      </c>
      <c r="AB4" s="1">
        <f>AA4*Y4</f>
        <v>164.9</v>
      </c>
      <c r="AD4" s="2" t="s">
        <v>126</v>
      </c>
      <c r="AE4" s="1">
        <v>1000</v>
      </c>
      <c r="AF4" s="1" t="s">
        <v>22</v>
      </c>
      <c r="AG4" s="1">
        <f>_xlfn.XLOOKUP(AD4,$A$2:$A$115,$D$2:$D$115)</f>
        <v>0.21684999999999999</v>
      </c>
      <c r="AH4" s="1">
        <f>AG4*AE4</f>
        <v>216.85</v>
      </c>
    </row>
    <row r="5" spans="1:34" x14ac:dyDescent="0.2">
      <c r="A5" s="1" t="s">
        <v>26</v>
      </c>
      <c r="B5" s="3">
        <v>13.15</v>
      </c>
      <c r="C5" s="5" t="s">
        <v>12</v>
      </c>
      <c r="D5" s="6">
        <f t="shared" si="0"/>
        <v>1.315E-2</v>
      </c>
      <c r="F5" s="1" t="s">
        <v>168</v>
      </c>
      <c r="G5" s="1">
        <v>2000</v>
      </c>
      <c r="H5" s="1" t="s">
        <v>22</v>
      </c>
      <c r="I5" s="1">
        <f t="shared" ref="I5:I6" si="1">_xlfn.XLOOKUP(F5,A3:A113,D3:D113)</f>
        <v>0.1414</v>
      </c>
      <c r="J5" s="1">
        <f t="shared" ref="J5:J6" si="2">I5*G5</f>
        <v>282.8</v>
      </c>
      <c r="L5" s="1" t="s">
        <v>120</v>
      </c>
      <c r="M5" s="1">
        <v>2050</v>
      </c>
      <c r="N5" s="1" t="s">
        <v>22</v>
      </c>
      <c r="O5" s="1">
        <f t="shared" ref="O5:O7" si="3">_xlfn.XLOOKUP(L5,$A$2:$A$112,$D$2:$D$112)</f>
        <v>4.1399999999999999E-2</v>
      </c>
      <c r="P5" s="1">
        <f t="shared" ref="P5:P7" si="4">O5*M5</f>
        <v>84.87</v>
      </c>
      <c r="R5" s="1" t="s">
        <v>120</v>
      </c>
      <c r="S5" s="1">
        <v>2050</v>
      </c>
      <c r="T5" s="1" t="s">
        <v>22</v>
      </c>
      <c r="U5" s="1">
        <f t="shared" ref="U5:U7" si="5">_xlfn.XLOOKUP(R5,$A$2:$A$112,$D$2:$D$112)</f>
        <v>4.1399999999999999E-2</v>
      </c>
      <c r="V5" s="1">
        <f t="shared" ref="V5:V7" si="6">U5*S5</f>
        <v>84.87</v>
      </c>
      <c r="X5" s="1" t="s">
        <v>87</v>
      </c>
      <c r="Y5" s="1">
        <v>350</v>
      </c>
      <c r="Z5" s="1" t="s">
        <v>22</v>
      </c>
      <c r="AA5" s="1">
        <f t="shared" ref="AA5" si="7">_xlfn.XLOOKUP(X5,$A$2:$A$112,$D$2:$D$112)</f>
        <v>0.249</v>
      </c>
      <c r="AB5" s="1">
        <f t="shared" ref="AB5" si="8">AA5*Y5</f>
        <v>87.15</v>
      </c>
      <c r="AD5" s="1" t="s">
        <v>63</v>
      </c>
      <c r="AE5" s="1">
        <v>1000</v>
      </c>
      <c r="AF5" s="1" t="s">
        <v>22</v>
      </c>
      <c r="AG5" s="1">
        <f t="shared" ref="AG5:AG8" si="9">_xlfn.XLOOKUP(AD5,$A$2:$A$115,$D$2:$D$115)</f>
        <v>0.45400000000000001</v>
      </c>
      <c r="AH5" s="1">
        <f t="shared" ref="AH5:AH8" si="10">AG5*AE5</f>
        <v>454</v>
      </c>
    </row>
    <row r="6" spans="1:34" x14ac:dyDescent="0.2">
      <c r="A6" s="1" t="s">
        <v>31</v>
      </c>
      <c r="B6" s="3">
        <v>24.55</v>
      </c>
      <c r="C6" s="5" t="s">
        <v>12</v>
      </c>
      <c r="D6" s="6">
        <f t="shared" si="0"/>
        <v>2.4550000000000002E-2</v>
      </c>
      <c r="F6" s="1" t="s">
        <v>27</v>
      </c>
      <c r="G6" s="1">
        <v>6000</v>
      </c>
      <c r="H6" s="1" t="s">
        <v>22</v>
      </c>
      <c r="I6" s="1">
        <f t="shared" si="1"/>
        <v>1.6750000000000001E-2</v>
      </c>
      <c r="J6" s="1">
        <f t="shared" si="2"/>
        <v>100.5</v>
      </c>
      <c r="L6" s="1" t="s">
        <v>33</v>
      </c>
      <c r="M6" s="1">
        <v>1800</v>
      </c>
      <c r="N6" s="1" t="s">
        <v>22</v>
      </c>
      <c r="O6" s="1">
        <f t="shared" si="3"/>
        <v>0.13930000000000001</v>
      </c>
      <c r="P6" s="1">
        <f t="shared" si="4"/>
        <v>250.74</v>
      </c>
      <c r="R6" s="1" t="s">
        <v>33</v>
      </c>
      <c r="S6" s="1">
        <v>1000</v>
      </c>
      <c r="T6" s="1" t="s">
        <v>22</v>
      </c>
      <c r="U6" s="1">
        <f t="shared" si="5"/>
        <v>0.13930000000000001</v>
      </c>
      <c r="V6" s="1">
        <f t="shared" si="6"/>
        <v>139.30000000000001</v>
      </c>
      <c r="X6" s="1" t="s">
        <v>41</v>
      </c>
      <c r="Y6" s="1">
        <f>SUM(Y4:Y5)</f>
        <v>850</v>
      </c>
      <c r="Z6" s="1" t="s">
        <v>22</v>
      </c>
      <c r="AA6" s="1"/>
      <c r="AB6" s="1">
        <f>SUM(AB4:AB5)</f>
        <v>252.05</v>
      </c>
      <c r="AD6" s="1" t="s">
        <v>168</v>
      </c>
      <c r="AE6" s="1">
        <v>2000</v>
      </c>
      <c r="AF6" s="1" t="s">
        <v>22</v>
      </c>
      <c r="AG6" s="1">
        <f t="shared" si="9"/>
        <v>0.1414</v>
      </c>
      <c r="AH6" s="1">
        <f t="shared" si="10"/>
        <v>282.8</v>
      </c>
    </row>
    <row r="7" spans="1:34" x14ac:dyDescent="0.2">
      <c r="A7" s="1" t="s">
        <v>27</v>
      </c>
      <c r="B7" s="3">
        <v>16.75</v>
      </c>
      <c r="C7" s="5" t="s">
        <v>12</v>
      </c>
      <c r="D7" s="6">
        <f t="shared" si="0"/>
        <v>1.6750000000000001E-2</v>
      </c>
      <c r="F7" s="1" t="s">
        <v>41</v>
      </c>
      <c r="G7" s="1">
        <f>SUM(G4:G6)</f>
        <v>12000</v>
      </c>
      <c r="H7" s="1" t="s">
        <v>22</v>
      </c>
      <c r="I7" s="1"/>
      <c r="J7" s="1">
        <f>SUM(J4:J6)</f>
        <v>1055.3</v>
      </c>
      <c r="L7" s="1" t="s">
        <v>72</v>
      </c>
      <c r="M7" s="1">
        <v>2</v>
      </c>
      <c r="N7" s="1" t="s">
        <v>22</v>
      </c>
      <c r="O7" s="1">
        <f t="shared" si="3"/>
        <v>14.6</v>
      </c>
      <c r="P7" s="1">
        <f t="shared" si="4"/>
        <v>29.2</v>
      </c>
      <c r="R7" s="1" t="s">
        <v>72</v>
      </c>
      <c r="S7" s="1">
        <v>2</v>
      </c>
      <c r="T7" s="1" t="s">
        <v>22</v>
      </c>
      <c r="U7" s="1">
        <f t="shared" si="5"/>
        <v>14.6</v>
      </c>
      <c r="V7" s="1">
        <f t="shared" si="6"/>
        <v>29.2</v>
      </c>
      <c r="X7" s="1" t="s">
        <v>43</v>
      </c>
      <c r="Y7" s="1"/>
      <c r="Z7" s="1"/>
      <c r="AA7" s="1"/>
      <c r="AB7" s="1">
        <f>AB6/Y6</f>
        <v>0.29652941176470587</v>
      </c>
      <c r="AD7" s="1" t="s">
        <v>165</v>
      </c>
      <c r="AE7" s="1">
        <v>2000</v>
      </c>
      <c r="AF7" s="1" t="s">
        <v>22</v>
      </c>
      <c r="AG7" s="1">
        <f t="shared" si="9"/>
        <v>0.2248</v>
      </c>
      <c r="AH7" s="1">
        <f t="shared" si="10"/>
        <v>449.6</v>
      </c>
    </row>
    <row r="8" spans="1:34" x14ac:dyDescent="0.2">
      <c r="A8" s="1" t="s">
        <v>35</v>
      </c>
      <c r="B8" s="3">
        <v>49.5</v>
      </c>
      <c r="C8" s="5" t="s">
        <v>12</v>
      </c>
      <c r="D8" s="6">
        <f t="shared" si="0"/>
        <v>4.9500000000000002E-2</v>
      </c>
      <c r="F8" s="1" t="s">
        <v>43</v>
      </c>
      <c r="G8" s="1"/>
      <c r="H8" s="1"/>
      <c r="I8" s="1"/>
      <c r="J8" s="1">
        <f>J7/G7</f>
        <v>8.7941666666666668E-2</v>
      </c>
      <c r="L8" s="1" t="s">
        <v>41</v>
      </c>
      <c r="M8" s="1">
        <f>SUM(M4:M7)</f>
        <v>6352</v>
      </c>
      <c r="N8" s="1" t="s">
        <v>22</v>
      </c>
      <c r="O8" s="1"/>
      <c r="P8" s="1">
        <f>SUM(P4:P7)</f>
        <v>397.685</v>
      </c>
      <c r="R8" s="1" t="s">
        <v>41</v>
      </c>
      <c r="S8" s="1">
        <f>SUM(S4:S7)</f>
        <v>5552</v>
      </c>
      <c r="T8" s="1" t="s">
        <v>22</v>
      </c>
      <c r="U8" s="1"/>
      <c r="V8" s="1">
        <f>SUM(V4:V7)</f>
        <v>286.245</v>
      </c>
      <c r="AD8" s="1" t="s">
        <v>122</v>
      </c>
      <c r="AE8" s="1">
        <v>1000</v>
      </c>
      <c r="AF8" s="1" t="s">
        <v>22</v>
      </c>
      <c r="AG8" s="1">
        <f t="shared" si="9"/>
        <v>6.3200000000000006E-2</v>
      </c>
      <c r="AH8" s="1">
        <f t="shared" si="10"/>
        <v>63.2</v>
      </c>
    </row>
    <row r="9" spans="1:34" x14ac:dyDescent="0.2">
      <c r="A9" s="1" t="s">
        <v>40</v>
      </c>
      <c r="B9" s="3">
        <v>83.99</v>
      </c>
      <c r="C9" s="5" t="s">
        <v>12</v>
      </c>
      <c r="D9" s="6">
        <f t="shared" si="0"/>
        <v>8.3989999999999995E-2</v>
      </c>
      <c r="L9" s="1" t="s">
        <v>43</v>
      </c>
      <c r="M9" s="1"/>
      <c r="N9" s="1"/>
      <c r="O9" s="1"/>
      <c r="P9" s="1">
        <f>P8/M8</f>
        <v>6.2607840050377839E-2</v>
      </c>
      <c r="R9" s="1" t="s">
        <v>43</v>
      </c>
      <c r="S9" s="1"/>
      <c r="T9" s="1"/>
      <c r="U9" s="1"/>
      <c r="V9" s="1">
        <f>V8/S8</f>
        <v>5.1557096541786744E-2</v>
      </c>
      <c r="X9" s="112" t="s">
        <v>213</v>
      </c>
      <c r="Y9" s="112"/>
      <c r="Z9" s="112"/>
      <c r="AA9" s="112"/>
      <c r="AB9" s="112"/>
      <c r="AD9" s="1" t="s">
        <v>41</v>
      </c>
      <c r="AE9" s="1">
        <f>SUM(AE4:AE8)</f>
        <v>7000</v>
      </c>
      <c r="AF9" s="1" t="s">
        <v>22</v>
      </c>
      <c r="AG9" s="1"/>
      <c r="AH9" s="1">
        <f>SUM(AH4:AH8)</f>
        <v>1466.45</v>
      </c>
    </row>
    <row r="10" spans="1:34" x14ac:dyDescent="0.2">
      <c r="A10" s="1" t="s">
        <v>42</v>
      </c>
      <c r="B10" s="3">
        <v>11.59</v>
      </c>
      <c r="C10" s="5" t="s">
        <v>12</v>
      </c>
      <c r="D10" s="6">
        <f t="shared" si="0"/>
        <v>1.159E-2</v>
      </c>
      <c r="F10" s="106" t="s">
        <v>214</v>
      </c>
      <c r="G10" s="106"/>
      <c r="H10" s="106"/>
      <c r="I10" s="106"/>
      <c r="J10" s="106"/>
      <c r="X10" s="2" t="s">
        <v>36</v>
      </c>
      <c r="Y10" s="1">
        <v>500</v>
      </c>
      <c r="Z10" s="1" t="s">
        <v>22</v>
      </c>
      <c r="AA10" s="1">
        <f>_xlfn.XLOOKUP(X10,$A$2:$A$112,$D$2:$D$112)</f>
        <v>0.32900000000000001</v>
      </c>
      <c r="AB10" s="1">
        <f>AA10*Y10</f>
        <v>164.5</v>
      </c>
      <c r="AD10" s="1" t="s">
        <v>43</v>
      </c>
      <c r="AE10" s="1"/>
      <c r="AF10" s="1"/>
      <c r="AG10" s="1"/>
      <c r="AH10" s="1">
        <f>AH9/AE9</f>
        <v>0.20949285714285715</v>
      </c>
    </row>
    <row r="11" spans="1:34" x14ac:dyDescent="0.2">
      <c r="A11" s="1" t="s">
        <v>45</v>
      </c>
      <c r="B11" s="3">
        <v>14.11</v>
      </c>
      <c r="C11" s="5" t="s">
        <v>12</v>
      </c>
      <c r="D11" s="6">
        <f t="shared" si="0"/>
        <v>1.4109999999999999E-2</v>
      </c>
      <c r="F11" s="1" t="s">
        <v>209</v>
      </c>
      <c r="G11" s="1">
        <v>12000</v>
      </c>
      <c r="H11" s="1" t="s">
        <v>22</v>
      </c>
      <c r="I11" s="1">
        <v>8.7940000000000004E-2</v>
      </c>
      <c r="J11" s="1">
        <f>I11*G11</f>
        <v>1055.28</v>
      </c>
      <c r="L11" s="62" t="s">
        <v>215</v>
      </c>
      <c r="M11" s="62"/>
      <c r="N11" s="62"/>
      <c r="O11" s="62"/>
      <c r="P11" s="62"/>
      <c r="R11" s="110" t="s">
        <v>216</v>
      </c>
      <c r="S11" s="110"/>
      <c r="T11" s="110"/>
      <c r="U11" s="110"/>
      <c r="V11" s="110"/>
      <c r="X11" s="1" t="s">
        <v>87</v>
      </c>
      <c r="Y11" s="1">
        <v>350</v>
      </c>
      <c r="Z11" s="1" t="s">
        <v>22</v>
      </c>
      <c r="AA11" s="1">
        <f t="shared" ref="AA11" si="11">_xlfn.XLOOKUP(X11,$A$2:$A$112,$D$2:$D$112)</f>
        <v>0.249</v>
      </c>
      <c r="AB11" s="1">
        <f t="shared" ref="AB11" si="12">AA11*Y11</f>
        <v>87.15</v>
      </c>
    </row>
    <row r="12" spans="1:34" x14ac:dyDescent="0.2">
      <c r="A12" s="1" t="s">
        <v>46</v>
      </c>
      <c r="B12" s="3">
        <v>24.61</v>
      </c>
      <c r="C12" s="5" t="s">
        <v>12</v>
      </c>
      <c r="D12" s="6">
        <f t="shared" si="0"/>
        <v>2.461E-2</v>
      </c>
      <c r="F12" s="1" t="s">
        <v>68</v>
      </c>
      <c r="G12" s="1">
        <v>2080</v>
      </c>
      <c r="H12" s="1" t="s">
        <v>22</v>
      </c>
      <c r="I12" s="1">
        <f t="shared" ref="I12:I17" si="13">_xlfn.XLOOKUP(F12,A3:A113,D3:D113)</f>
        <v>4.4999999999999998E-2</v>
      </c>
      <c r="J12" s="1">
        <f t="shared" ref="J12:J18" si="14">I12*G12</f>
        <v>93.6</v>
      </c>
      <c r="L12" s="2" t="s">
        <v>36</v>
      </c>
      <c r="M12" s="1">
        <v>1000</v>
      </c>
      <c r="N12" s="1" t="s">
        <v>22</v>
      </c>
      <c r="O12" s="1">
        <f>_xlfn.XLOOKUP(L12,$A$2:$A$112,$D$2:$D$112)</f>
        <v>0.32900000000000001</v>
      </c>
      <c r="P12" s="1">
        <f>O12*M12</f>
        <v>329</v>
      </c>
      <c r="R12" s="2" t="s">
        <v>36</v>
      </c>
      <c r="S12" s="1">
        <v>1000</v>
      </c>
      <c r="T12" s="1" t="s">
        <v>22</v>
      </c>
      <c r="U12" s="1">
        <f>_xlfn.XLOOKUP(R12,$A$2:$A$112,$D$2:$D$112)</f>
        <v>0.32900000000000001</v>
      </c>
      <c r="V12" s="1">
        <f>U12*S12</f>
        <v>329</v>
      </c>
      <c r="X12" s="1" t="s">
        <v>41</v>
      </c>
      <c r="Y12" s="1">
        <f>SUM(Y10:Y11)</f>
        <v>850</v>
      </c>
      <c r="Z12" s="1" t="s">
        <v>22</v>
      </c>
      <c r="AA12" s="1"/>
      <c r="AB12" s="1">
        <f>SUM(AB10:AB11)</f>
        <v>251.65</v>
      </c>
      <c r="AD12" s="111" t="s">
        <v>216</v>
      </c>
      <c r="AE12" s="111"/>
      <c r="AF12" s="111"/>
      <c r="AG12" s="111"/>
      <c r="AH12" s="111"/>
    </row>
    <row r="13" spans="1:34" x14ac:dyDescent="0.2">
      <c r="A13" s="1" t="s">
        <v>30</v>
      </c>
      <c r="B13" s="3">
        <v>5.25</v>
      </c>
      <c r="C13" s="5" t="s">
        <v>12</v>
      </c>
      <c r="D13" s="6">
        <f t="shared" si="0"/>
        <v>5.2500000000000003E-3</v>
      </c>
      <c r="F13" s="1" t="s">
        <v>203</v>
      </c>
      <c r="G13" s="1">
        <v>28</v>
      </c>
      <c r="H13" s="1" t="s">
        <v>22</v>
      </c>
      <c r="I13" s="1">
        <f t="shared" si="13"/>
        <v>0.61199999999999999</v>
      </c>
      <c r="J13" s="1">
        <f t="shared" si="14"/>
        <v>17.135999999999999</v>
      </c>
      <c r="L13" s="1" t="s">
        <v>41</v>
      </c>
      <c r="M13" s="1">
        <f>SUM(M12:M12)</f>
        <v>1000</v>
      </c>
      <c r="N13" s="1" t="s">
        <v>22</v>
      </c>
      <c r="O13" s="1"/>
      <c r="P13" s="1">
        <f>SUM(P12:P12)</f>
        <v>329</v>
      </c>
      <c r="R13" s="1" t="s">
        <v>41</v>
      </c>
      <c r="S13" s="1">
        <f>SUM(S12:S12)</f>
        <v>1000</v>
      </c>
      <c r="T13" s="1" t="s">
        <v>22</v>
      </c>
      <c r="U13" s="1"/>
      <c r="V13" s="1">
        <f>SUM(V12:V12)</f>
        <v>329</v>
      </c>
      <c r="X13" s="1" t="s">
        <v>43</v>
      </c>
      <c r="Y13" s="1"/>
      <c r="Z13" s="1"/>
      <c r="AA13" s="1"/>
      <c r="AB13" s="1">
        <f>AB12/Y12</f>
        <v>0.29605882352941176</v>
      </c>
      <c r="AD13" s="2" t="s">
        <v>36</v>
      </c>
      <c r="AE13" s="1">
        <v>1000</v>
      </c>
      <c r="AF13" s="1" t="s">
        <v>22</v>
      </c>
      <c r="AG13" s="1">
        <f>_xlfn.XLOOKUP(AD13,$A$2:$A$112,$D$2:$D$112)</f>
        <v>0.32900000000000001</v>
      </c>
      <c r="AH13" s="1">
        <f>AG13*AE13</f>
        <v>329</v>
      </c>
    </row>
    <row r="14" spans="1:34" x14ac:dyDescent="0.2">
      <c r="A14" s="1" t="s">
        <v>55</v>
      </c>
      <c r="B14" s="3">
        <v>13.41</v>
      </c>
      <c r="C14" s="5" t="s">
        <v>12</v>
      </c>
      <c r="D14" s="6">
        <f t="shared" si="0"/>
        <v>1.341E-2</v>
      </c>
      <c r="F14" s="1"/>
      <c r="G14" s="1"/>
      <c r="H14" s="1"/>
      <c r="I14" s="1"/>
      <c r="J14" s="1"/>
      <c r="L14" s="1" t="s">
        <v>43</v>
      </c>
      <c r="M14" s="1"/>
      <c r="N14" s="1"/>
      <c r="O14" s="1"/>
      <c r="P14" s="1">
        <f>P13/M13</f>
        <v>0.32900000000000001</v>
      </c>
      <c r="R14" s="1" t="s">
        <v>43</v>
      </c>
      <c r="S14" s="1"/>
      <c r="T14" s="1"/>
      <c r="U14" s="1"/>
      <c r="V14" s="1">
        <f>V13/S13</f>
        <v>0.32900000000000001</v>
      </c>
      <c r="AD14" s="1" t="s">
        <v>41</v>
      </c>
      <c r="AE14" s="1">
        <f>SUM(AE13:AE13)</f>
        <v>1000</v>
      </c>
      <c r="AF14" s="1" t="s">
        <v>22</v>
      </c>
      <c r="AG14" s="1"/>
      <c r="AH14" s="1">
        <f>SUM(AH13:AH13)</f>
        <v>329</v>
      </c>
    </row>
    <row r="15" spans="1:34" x14ac:dyDescent="0.2">
      <c r="A15" s="1" t="s">
        <v>60</v>
      </c>
      <c r="B15" s="3">
        <v>107</v>
      </c>
      <c r="C15" s="5" t="s">
        <v>61</v>
      </c>
      <c r="D15" s="6">
        <f t="shared" si="0"/>
        <v>0.107</v>
      </c>
      <c r="F15" s="1" t="s">
        <v>26</v>
      </c>
      <c r="G15" s="1">
        <v>6000</v>
      </c>
      <c r="H15" s="1" t="s">
        <v>22</v>
      </c>
      <c r="I15" s="1">
        <f>_xlfn.XLOOKUP(F15,A2:A116,D2:D116)</f>
        <v>1.315E-2</v>
      </c>
      <c r="J15" s="1">
        <f t="shared" si="14"/>
        <v>78.900000000000006</v>
      </c>
      <c r="X15" s="112" t="s">
        <v>217</v>
      </c>
      <c r="Y15" s="112"/>
      <c r="Z15" s="112"/>
      <c r="AA15" s="112"/>
      <c r="AB15" s="112"/>
      <c r="AD15" s="1" t="s">
        <v>43</v>
      </c>
      <c r="AE15" s="1"/>
      <c r="AF15" s="1"/>
      <c r="AG15" s="1"/>
      <c r="AH15" s="1">
        <f>AH14/AE14</f>
        <v>0.32900000000000001</v>
      </c>
    </row>
    <row r="16" spans="1:34" x14ac:dyDescent="0.2">
      <c r="A16" s="1" t="s">
        <v>64</v>
      </c>
      <c r="B16" s="3">
        <v>37.9</v>
      </c>
      <c r="C16" s="5" t="s">
        <v>61</v>
      </c>
      <c r="D16" s="6">
        <f t="shared" si="0"/>
        <v>3.7899999999999996E-2</v>
      </c>
      <c r="F16" s="1" t="s">
        <v>23</v>
      </c>
      <c r="G16" s="1">
        <v>1800</v>
      </c>
      <c r="H16" s="1" t="s">
        <v>22</v>
      </c>
      <c r="I16" s="1">
        <f t="shared" si="13"/>
        <v>0</v>
      </c>
      <c r="J16" s="1">
        <f t="shared" si="14"/>
        <v>0</v>
      </c>
      <c r="L16" s="62" t="s">
        <v>38</v>
      </c>
      <c r="M16" s="62"/>
      <c r="N16" s="62"/>
      <c r="O16" s="62"/>
      <c r="P16" s="62"/>
      <c r="R16" s="110" t="s">
        <v>218</v>
      </c>
      <c r="S16" s="110"/>
      <c r="T16" s="110"/>
      <c r="U16" s="110"/>
      <c r="V16" s="110"/>
      <c r="X16" s="1" t="s">
        <v>219</v>
      </c>
      <c r="Y16" s="1">
        <v>5</v>
      </c>
      <c r="Z16" s="1" t="s">
        <v>22</v>
      </c>
      <c r="AA16" s="1">
        <v>0.29649999999999999</v>
      </c>
      <c r="AB16" s="1">
        <f>AA16*Y16</f>
        <v>1.4824999999999999</v>
      </c>
    </row>
    <row r="17" spans="1:34" x14ac:dyDescent="0.2">
      <c r="A17" s="1" t="s">
        <v>65</v>
      </c>
      <c r="B17" s="3">
        <v>29.7</v>
      </c>
      <c r="C17" s="5" t="s">
        <v>12</v>
      </c>
      <c r="D17" s="6">
        <f t="shared" si="0"/>
        <v>2.9700000000000001E-2</v>
      </c>
      <c r="F17" s="1" t="s">
        <v>68</v>
      </c>
      <c r="G17" s="1">
        <v>2160</v>
      </c>
      <c r="H17" s="1" t="s">
        <v>22</v>
      </c>
      <c r="I17" s="1">
        <f t="shared" si="13"/>
        <v>4.4999999999999998E-2</v>
      </c>
      <c r="J17" s="1">
        <f t="shared" si="14"/>
        <v>97.2</v>
      </c>
      <c r="L17" s="2" t="s">
        <v>38</v>
      </c>
      <c r="M17" s="1">
        <v>1000</v>
      </c>
      <c r="N17" s="1" t="s">
        <v>22</v>
      </c>
      <c r="O17" s="1">
        <f>_xlfn.XLOOKUP(L17,$A$2:$A$112,$D$2:$D$112)</f>
        <v>0.38500000000000001</v>
      </c>
      <c r="P17" s="1">
        <f>O17*M17</f>
        <v>385</v>
      </c>
      <c r="R17" s="2" t="s">
        <v>111</v>
      </c>
      <c r="S17" s="1">
        <v>1000</v>
      </c>
      <c r="T17" s="1" t="s">
        <v>22</v>
      </c>
      <c r="U17" s="1">
        <f>_xlfn.XLOOKUP(R17,$A$2:$A$112,$D$2:$D$112)</f>
        <v>0.32980000000000004</v>
      </c>
      <c r="V17" s="1">
        <f>U17*S17</f>
        <v>329.8</v>
      </c>
      <c r="X17" s="1" t="s">
        <v>41</v>
      </c>
      <c r="Y17" s="1"/>
      <c r="Z17" s="1"/>
      <c r="AA17" s="1"/>
      <c r="AB17" s="21">
        <f>SUM(AB16:AB16)</f>
        <v>1.4824999999999999</v>
      </c>
      <c r="AD17" s="111" t="s">
        <v>218</v>
      </c>
      <c r="AE17" s="111"/>
      <c r="AF17" s="111"/>
      <c r="AG17" s="111"/>
      <c r="AH17" s="111"/>
    </row>
    <row r="18" spans="1:34" x14ac:dyDescent="0.2">
      <c r="A18" s="1" t="s">
        <v>69</v>
      </c>
      <c r="B18" s="3">
        <v>32.39</v>
      </c>
      <c r="C18" s="5" t="s">
        <v>12</v>
      </c>
      <c r="D18" s="6">
        <f t="shared" si="0"/>
        <v>3.2390000000000002E-2</v>
      </c>
      <c r="F18" s="1" t="s">
        <v>26</v>
      </c>
      <c r="G18" s="1">
        <v>1200</v>
      </c>
      <c r="H18" s="1" t="s">
        <v>22</v>
      </c>
      <c r="I18" s="1">
        <f>_xlfn.XLOOKUP(F18,A2:A119,D2:D119)</f>
        <v>1.315E-2</v>
      </c>
      <c r="J18" s="1">
        <f t="shared" si="14"/>
        <v>15.780000000000001</v>
      </c>
      <c r="L18" s="1" t="s">
        <v>41</v>
      </c>
      <c r="M18" s="1">
        <f>SUM(M17:M17)</f>
        <v>1000</v>
      </c>
      <c r="N18" s="1" t="s">
        <v>22</v>
      </c>
      <c r="O18" s="1"/>
      <c r="P18" s="1">
        <f>SUM(P17:P17)</f>
        <v>385</v>
      </c>
      <c r="R18" s="1" t="s">
        <v>41</v>
      </c>
      <c r="S18" s="1">
        <f>SUM(S17:S17)</f>
        <v>1000</v>
      </c>
      <c r="T18" s="1" t="s">
        <v>22</v>
      </c>
      <c r="U18" s="1"/>
      <c r="V18" s="1">
        <f>SUM(V17:V17)</f>
        <v>329.8</v>
      </c>
      <c r="AD18" s="2" t="s">
        <v>111</v>
      </c>
      <c r="AE18" s="1">
        <v>1000</v>
      </c>
      <c r="AF18" s="1" t="s">
        <v>22</v>
      </c>
      <c r="AG18" s="1">
        <f>_xlfn.XLOOKUP(AD18,$A$2:$A$112,$D$2:$D$112)</f>
        <v>0.32980000000000004</v>
      </c>
      <c r="AH18" s="1">
        <f>AG18*AE18</f>
        <v>329.8</v>
      </c>
    </row>
    <row r="19" spans="1:34" x14ac:dyDescent="0.2">
      <c r="A19" s="1" t="s">
        <v>71</v>
      </c>
      <c r="B19" s="3">
        <v>100.48</v>
      </c>
      <c r="C19" s="5" t="s">
        <v>12</v>
      </c>
      <c r="D19" s="6">
        <f t="shared" si="0"/>
        <v>0.10048</v>
      </c>
      <c r="F19" s="1" t="s">
        <v>41</v>
      </c>
      <c r="G19" s="1">
        <f>SUM(G11:G18)</f>
        <v>25268</v>
      </c>
      <c r="H19" s="1" t="s">
        <v>22</v>
      </c>
      <c r="I19" s="1"/>
      <c r="J19" s="1">
        <f>SUM(J11:J18)</f>
        <v>1357.896</v>
      </c>
      <c r="L19" s="1" t="s">
        <v>43</v>
      </c>
      <c r="M19" s="1"/>
      <c r="N19" s="1"/>
      <c r="O19" s="1"/>
      <c r="P19" s="1">
        <f>P18/M18</f>
        <v>0.38500000000000001</v>
      </c>
      <c r="R19" s="1" t="s">
        <v>43</v>
      </c>
      <c r="S19" s="1"/>
      <c r="T19" s="1"/>
      <c r="U19" s="1"/>
      <c r="V19" s="1">
        <f>V18/S18</f>
        <v>0.32980000000000004</v>
      </c>
      <c r="X19" s="112" t="s">
        <v>220</v>
      </c>
      <c r="Y19" s="112"/>
      <c r="Z19" s="112"/>
      <c r="AA19" s="112"/>
      <c r="AB19" s="112"/>
      <c r="AD19" s="1" t="s">
        <v>41</v>
      </c>
      <c r="AE19" s="1">
        <f>SUM(AE18:AE18)</f>
        <v>1000</v>
      </c>
      <c r="AF19" s="1" t="s">
        <v>22</v>
      </c>
      <c r="AG19" s="1"/>
      <c r="AH19" s="1">
        <f>SUM(AH18:AH18)</f>
        <v>329.8</v>
      </c>
    </row>
    <row r="20" spans="1:34" x14ac:dyDescent="0.2">
      <c r="A20" s="1" t="s">
        <v>75</v>
      </c>
      <c r="B20" s="3">
        <v>61.57</v>
      </c>
      <c r="C20" s="5" t="s">
        <v>12</v>
      </c>
      <c r="D20" s="6">
        <f t="shared" si="0"/>
        <v>6.157E-2</v>
      </c>
      <c r="F20" s="1" t="s">
        <v>43</v>
      </c>
      <c r="G20" s="1"/>
      <c r="H20" s="1" t="s">
        <v>22</v>
      </c>
      <c r="I20" s="1"/>
      <c r="J20" s="1">
        <f>J19/G19</f>
        <v>5.3739749881272753E-2</v>
      </c>
      <c r="X20" s="1" t="s">
        <v>221</v>
      </c>
      <c r="Y20" s="1">
        <v>5</v>
      </c>
      <c r="Z20" s="1" t="s">
        <v>22</v>
      </c>
      <c r="AA20" s="1">
        <v>0.29605999999999999</v>
      </c>
      <c r="AB20" s="1">
        <f>AA20*Y20</f>
        <v>1.4802999999999999</v>
      </c>
      <c r="AD20" s="1" t="s">
        <v>43</v>
      </c>
      <c r="AE20" s="1"/>
      <c r="AF20" s="1"/>
      <c r="AG20" s="1"/>
      <c r="AH20" s="1">
        <f>AH19/AE19</f>
        <v>0.32980000000000004</v>
      </c>
    </row>
    <row r="21" spans="1:34" x14ac:dyDescent="0.2">
      <c r="A21" s="1" t="s">
        <v>76</v>
      </c>
      <c r="B21" s="3">
        <v>81.03</v>
      </c>
      <c r="C21" s="5" t="s">
        <v>12</v>
      </c>
      <c r="D21" s="6">
        <f t="shared" si="0"/>
        <v>8.1030000000000005E-2</v>
      </c>
      <c r="L21" s="62" t="s">
        <v>222</v>
      </c>
      <c r="M21" s="62"/>
      <c r="N21" s="62"/>
      <c r="O21" s="62"/>
      <c r="P21" s="62"/>
      <c r="R21" s="110" t="s">
        <v>223</v>
      </c>
      <c r="S21" s="110"/>
      <c r="T21" s="110"/>
      <c r="U21" s="110"/>
      <c r="V21" s="110"/>
      <c r="X21" s="1" t="s">
        <v>41</v>
      </c>
      <c r="Y21" s="1"/>
      <c r="Z21" s="1"/>
      <c r="AA21" s="1"/>
      <c r="AB21" s="21">
        <f>SUM(AB20:AB20)</f>
        <v>1.4802999999999999</v>
      </c>
    </row>
    <row r="22" spans="1:34" x14ac:dyDescent="0.2">
      <c r="A22" s="1" t="s">
        <v>77</v>
      </c>
      <c r="B22" s="3">
        <v>106.04</v>
      </c>
      <c r="C22" s="5" t="s">
        <v>12</v>
      </c>
      <c r="D22" s="6">
        <f t="shared" si="0"/>
        <v>0.10604000000000001</v>
      </c>
      <c r="F22" s="106" t="s">
        <v>224</v>
      </c>
      <c r="G22" s="106"/>
      <c r="H22" s="106"/>
      <c r="I22" s="106"/>
      <c r="J22" s="106"/>
      <c r="L22" s="1" t="s">
        <v>225</v>
      </c>
      <c r="M22" s="1">
        <v>15</v>
      </c>
      <c r="N22" s="1" t="s">
        <v>22</v>
      </c>
      <c r="O22" s="1">
        <v>0.32900000000000001</v>
      </c>
      <c r="P22" s="1">
        <f>O22*M22</f>
        <v>4.9350000000000005</v>
      </c>
      <c r="R22" s="1" t="s">
        <v>210</v>
      </c>
      <c r="S22" s="1">
        <v>16</v>
      </c>
      <c r="T22" s="1" t="s">
        <v>22</v>
      </c>
      <c r="U22" s="1">
        <v>5.1560000000000002E-2</v>
      </c>
      <c r="V22" s="1">
        <f>U22*S22</f>
        <v>0.82496000000000003</v>
      </c>
      <c r="AD22" s="111" t="s">
        <v>226</v>
      </c>
      <c r="AE22" s="111"/>
      <c r="AF22" s="111"/>
      <c r="AG22" s="111"/>
      <c r="AH22" s="111"/>
    </row>
    <row r="23" spans="1:34" x14ac:dyDescent="0.2">
      <c r="A23" s="1" t="s">
        <v>80</v>
      </c>
      <c r="B23" s="3">
        <v>89</v>
      </c>
      <c r="C23" s="5" t="s">
        <v>12</v>
      </c>
      <c r="D23" s="6">
        <f t="shared" si="0"/>
        <v>8.8999999999999996E-2</v>
      </c>
      <c r="F23" s="1" t="s">
        <v>39</v>
      </c>
      <c r="G23" s="1">
        <v>2000</v>
      </c>
      <c r="H23" s="1" t="s">
        <v>22</v>
      </c>
      <c r="I23" s="1">
        <f>_xlfn.XLOOKUP(F23,A2:A112,D2:D112)</f>
        <v>5.6149999999999999E-2</v>
      </c>
      <c r="J23" s="1">
        <f>I23*G23</f>
        <v>112.3</v>
      </c>
      <c r="L23" s="1" t="s">
        <v>210</v>
      </c>
      <c r="M23" s="1">
        <v>10</v>
      </c>
      <c r="N23" s="1" t="s">
        <v>22</v>
      </c>
      <c r="O23" s="1">
        <v>6.2600000000000003E-2</v>
      </c>
      <c r="P23" s="1">
        <f t="shared" ref="P23:P24" si="15">O23*M23</f>
        <v>0.626</v>
      </c>
      <c r="R23" s="1" t="s">
        <v>227</v>
      </c>
      <c r="S23" s="1">
        <v>13</v>
      </c>
      <c r="T23" s="1" t="s">
        <v>22</v>
      </c>
      <c r="U23" s="1">
        <v>0.32900000000000001</v>
      </c>
      <c r="V23" s="1">
        <f t="shared" ref="V23" si="16">U23*S23</f>
        <v>4.2770000000000001</v>
      </c>
      <c r="X23" s="112" t="s">
        <v>127</v>
      </c>
      <c r="Y23" s="112"/>
      <c r="Z23" s="112"/>
      <c r="AA23" s="112"/>
      <c r="AB23" s="112"/>
      <c r="AD23" s="1" t="s">
        <v>228</v>
      </c>
      <c r="AE23" s="1">
        <v>5</v>
      </c>
      <c r="AF23" s="1" t="s">
        <v>22</v>
      </c>
      <c r="AG23" s="1">
        <v>0.20949000000000001</v>
      </c>
      <c r="AH23" s="1">
        <f>AG23*AE23</f>
        <v>1.04745</v>
      </c>
    </row>
    <row r="24" spans="1:34" x14ac:dyDescent="0.2">
      <c r="A24" s="1" t="s">
        <v>85</v>
      </c>
      <c r="B24" s="3">
        <v>26.5</v>
      </c>
      <c r="C24" s="5" t="s">
        <v>12</v>
      </c>
      <c r="D24" s="6">
        <f t="shared" si="0"/>
        <v>2.6499999999999999E-2</v>
      </c>
      <c r="F24" s="1" t="s">
        <v>88</v>
      </c>
      <c r="G24" s="1">
        <v>900</v>
      </c>
      <c r="H24" s="1" t="s">
        <v>22</v>
      </c>
      <c r="I24" s="1">
        <f t="shared" ref="I24:I29" si="17">_xlfn.XLOOKUP(F24,A3:A113,D3:D113)</f>
        <v>0.35039999999999999</v>
      </c>
      <c r="J24" s="1">
        <f t="shared" ref="J24:J25" si="18">I24*G24</f>
        <v>315.36</v>
      </c>
      <c r="L24" s="1" t="s">
        <v>38</v>
      </c>
      <c r="M24" s="1">
        <v>10</v>
      </c>
      <c r="N24" s="1" t="s">
        <v>22</v>
      </c>
      <c r="O24" s="1">
        <v>0.38500000000000001</v>
      </c>
      <c r="P24" s="1">
        <f t="shared" si="15"/>
        <v>3.85</v>
      </c>
      <c r="R24" s="1" t="s">
        <v>41</v>
      </c>
      <c r="S24" s="1"/>
      <c r="T24" s="1"/>
      <c r="U24" s="1"/>
      <c r="V24" s="21">
        <f>SUM(V22:V23)</f>
        <v>5.1019600000000001</v>
      </c>
      <c r="X24" s="1" t="s">
        <v>618</v>
      </c>
      <c r="Y24" s="1">
        <v>10</v>
      </c>
      <c r="Z24" s="1" t="s">
        <v>129</v>
      </c>
      <c r="AA24" s="55" t="s">
        <v>620</v>
      </c>
      <c r="AB24" s="56"/>
      <c r="AD24" s="8" t="s">
        <v>227</v>
      </c>
      <c r="AE24" s="8">
        <v>13</v>
      </c>
      <c r="AF24" s="8" t="s">
        <v>22</v>
      </c>
      <c r="AG24" s="8">
        <v>0.32900000000000001</v>
      </c>
      <c r="AH24" s="8">
        <f t="shared" ref="AH24" si="19">AG24*AE24</f>
        <v>4.2770000000000001</v>
      </c>
    </row>
    <row r="25" spans="1:34" x14ac:dyDescent="0.2">
      <c r="A25" s="1" t="s">
        <v>89</v>
      </c>
      <c r="B25" s="3">
        <v>15.75</v>
      </c>
      <c r="C25" s="5" t="s">
        <v>12</v>
      </c>
      <c r="D25" s="6">
        <f t="shared" si="0"/>
        <v>1.575E-2</v>
      </c>
      <c r="F25" s="1" t="s">
        <v>26</v>
      </c>
      <c r="G25" s="1">
        <v>2240</v>
      </c>
      <c r="H25" s="1" t="s">
        <v>22</v>
      </c>
      <c r="I25" s="1">
        <f t="shared" si="17"/>
        <v>1.315E-2</v>
      </c>
      <c r="J25" s="1">
        <f t="shared" si="18"/>
        <v>29.456</v>
      </c>
      <c r="L25" s="1" t="s">
        <v>41</v>
      </c>
      <c r="M25" s="1"/>
      <c r="N25" s="1"/>
      <c r="O25" s="1"/>
      <c r="P25" s="21">
        <f>SUM(P22:P24)</f>
        <v>9.4110000000000014</v>
      </c>
      <c r="X25" s="1" t="s">
        <v>619</v>
      </c>
      <c r="Y25" s="1">
        <v>97</v>
      </c>
      <c r="Z25" s="1" t="s">
        <v>129</v>
      </c>
      <c r="AA25" s="55" t="s">
        <v>620</v>
      </c>
      <c r="AB25" s="56"/>
      <c r="AD25" s="1" t="s">
        <v>41</v>
      </c>
      <c r="AE25" s="1"/>
      <c r="AF25" s="1"/>
      <c r="AG25" s="1"/>
      <c r="AH25" s="21">
        <f>SUM(AH23:AH24)</f>
        <v>5.3244500000000006</v>
      </c>
    </row>
    <row r="26" spans="1:34" x14ac:dyDescent="0.2">
      <c r="A26" s="1" t="s">
        <v>91</v>
      </c>
      <c r="B26" s="3">
        <v>49.85</v>
      </c>
      <c r="C26" s="5" t="s">
        <v>12</v>
      </c>
      <c r="D26" s="6">
        <f t="shared" si="0"/>
        <v>4.9849999999999998E-2</v>
      </c>
      <c r="F26" s="1" t="s">
        <v>39</v>
      </c>
      <c r="G26" s="1">
        <v>8000</v>
      </c>
      <c r="H26" s="1" t="s">
        <v>22</v>
      </c>
      <c r="I26" s="1">
        <f t="shared" si="17"/>
        <v>5.6149999999999999E-2</v>
      </c>
      <c r="J26" s="1">
        <f>I26*G26</f>
        <v>449.2</v>
      </c>
      <c r="L26" s="182"/>
      <c r="M26" s="182"/>
      <c r="N26" s="182"/>
      <c r="O26" s="182"/>
      <c r="P26" s="176"/>
      <c r="R26" s="110" t="s">
        <v>229</v>
      </c>
      <c r="S26" s="110"/>
      <c r="T26" s="110"/>
      <c r="U26" s="110"/>
      <c r="V26" s="110"/>
      <c r="X26" s="1" t="s">
        <v>621</v>
      </c>
      <c r="Y26" s="1">
        <v>40</v>
      </c>
      <c r="Z26" s="1" t="s">
        <v>129</v>
      </c>
      <c r="AA26" s="55" t="s">
        <v>620</v>
      </c>
      <c r="AB26" s="56"/>
      <c r="AH26" s="29"/>
    </row>
    <row r="27" spans="1:34" x14ac:dyDescent="0.2">
      <c r="A27" s="1" t="s">
        <v>93</v>
      </c>
      <c r="B27" s="3">
        <v>36.75</v>
      </c>
      <c r="C27" s="5" t="s">
        <v>12</v>
      </c>
      <c r="D27" s="6">
        <f t="shared" si="0"/>
        <v>3.6749999999999998E-2</v>
      </c>
      <c r="F27" s="2" t="s">
        <v>66</v>
      </c>
      <c r="G27" s="1">
        <v>5680</v>
      </c>
      <c r="H27" s="1" t="s">
        <v>22</v>
      </c>
      <c r="I27" s="1">
        <f t="shared" si="17"/>
        <v>0.35599999999999998</v>
      </c>
      <c r="J27" s="1">
        <f t="shared" ref="J27:J29" si="20">I27*G27</f>
        <v>2022.08</v>
      </c>
      <c r="L27" s="62" t="s">
        <v>779</v>
      </c>
      <c r="M27" s="62"/>
      <c r="N27" s="62"/>
      <c r="O27" s="62"/>
      <c r="P27" s="62"/>
      <c r="R27" s="1" t="s">
        <v>210</v>
      </c>
      <c r="S27" s="1">
        <v>16</v>
      </c>
      <c r="T27" s="1" t="s">
        <v>22</v>
      </c>
      <c r="U27" s="1">
        <v>5.1560000000000002E-2</v>
      </c>
      <c r="V27" s="1">
        <f>U27*S27</f>
        <v>0.82496000000000003</v>
      </c>
      <c r="X27" s="1" t="s">
        <v>41</v>
      </c>
      <c r="Y27" s="1">
        <f>SUM(Y24:Y26)</f>
        <v>147</v>
      </c>
      <c r="Z27" s="1" t="s">
        <v>129</v>
      </c>
      <c r="AA27" s="55">
        <v>680</v>
      </c>
      <c r="AB27" s="56"/>
      <c r="AD27" s="111" t="s">
        <v>230</v>
      </c>
      <c r="AE27" s="111"/>
      <c r="AF27" s="111"/>
      <c r="AG27" s="111"/>
      <c r="AH27" s="111"/>
    </row>
    <row r="28" spans="1:34" x14ac:dyDescent="0.2">
      <c r="A28" s="1" t="s">
        <v>95</v>
      </c>
      <c r="B28" s="3">
        <v>98.75</v>
      </c>
      <c r="C28" s="5" t="s">
        <v>12</v>
      </c>
      <c r="D28" s="6">
        <f t="shared" si="0"/>
        <v>9.8750000000000004E-2</v>
      </c>
      <c r="F28" s="1" t="s">
        <v>24</v>
      </c>
      <c r="G28" s="1">
        <v>4160</v>
      </c>
      <c r="H28" s="1" t="s">
        <v>22</v>
      </c>
      <c r="I28" s="1">
        <f t="shared" si="17"/>
        <v>7.6060000000000003E-2</v>
      </c>
      <c r="J28" s="1">
        <f t="shared" si="20"/>
        <v>316.40960000000001</v>
      </c>
      <c r="L28" s="179" t="s">
        <v>210</v>
      </c>
      <c r="M28" s="179">
        <v>190</v>
      </c>
      <c r="N28" s="179" t="s">
        <v>129</v>
      </c>
      <c r="O28" s="183" t="s">
        <v>531</v>
      </c>
      <c r="P28" s="183"/>
      <c r="R28" s="1" t="s">
        <v>232</v>
      </c>
      <c r="S28" s="1">
        <v>13</v>
      </c>
      <c r="T28" s="1" t="s">
        <v>22</v>
      </c>
      <c r="U28" s="1">
        <v>0.32979999999999998</v>
      </c>
      <c r="V28" s="1">
        <f t="shared" ref="V28" si="21">U28*S28</f>
        <v>4.2873999999999999</v>
      </c>
      <c r="X28" s="33" t="s">
        <v>240</v>
      </c>
      <c r="Y28" s="35">
        <f>Y27/AA27</f>
        <v>0.2161764705882353</v>
      </c>
      <c r="Z28" s="33" t="s">
        <v>129</v>
      </c>
      <c r="AA28" s="57" t="s">
        <v>639</v>
      </c>
      <c r="AB28" s="58"/>
      <c r="AD28" s="30" t="s">
        <v>228</v>
      </c>
      <c r="AE28" s="30">
        <v>5</v>
      </c>
      <c r="AF28" s="30" t="s">
        <v>22</v>
      </c>
      <c r="AG28" s="1">
        <v>0.20949000000000001</v>
      </c>
      <c r="AH28" s="30">
        <f>AG28*AE28</f>
        <v>1.04745</v>
      </c>
    </row>
    <row r="29" spans="1:34" x14ac:dyDescent="0.2">
      <c r="A29" s="1" t="s">
        <v>96</v>
      </c>
      <c r="B29" s="3">
        <v>498</v>
      </c>
      <c r="C29" s="5" t="s">
        <v>97</v>
      </c>
      <c r="D29" s="7">
        <f t="shared" si="0"/>
        <v>0.498</v>
      </c>
      <c r="F29" s="1" t="s">
        <v>72</v>
      </c>
      <c r="G29" s="1">
        <v>10</v>
      </c>
      <c r="H29" s="1" t="s">
        <v>73</v>
      </c>
      <c r="I29" s="1">
        <f t="shared" si="17"/>
        <v>14.6</v>
      </c>
      <c r="J29" s="1">
        <f t="shared" si="20"/>
        <v>146</v>
      </c>
      <c r="L29" s="179" t="s">
        <v>771</v>
      </c>
      <c r="M29" s="179">
        <f>M28/640</f>
        <v>0.296875</v>
      </c>
      <c r="N29" s="179" t="s">
        <v>129</v>
      </c>
      <c r="O29" s="183" t="s">
        <v>780</v>
      </c>
      <c r="P29" s="183"/>
      <c r="R29" s="1" t="s">
        <v>41</v>
      </c>
      <c r="S29" s="1"/>
      <c r="T29" s="1"/>
      <c r="U29" s="1"/>
      <c r="V29" s="21">
        <f>SUM(V27:V28)</f>
        <v>5.1123599999999998</v>
      </c>
      <c r="AD29" s="1" t="s">
        <v>234</v>
      </c>
      <c r="AE29" s="1">
        <v>13</v>
      </c>
      <c r="AF29" s="1" t="s">
        <v>22</v>
      </c>
      <c r="AG29" s="1">
        <v>0.32979999999999998</v>
      </c>
      <c r="AH29" s="1">
        <f t="shared" ref="AH29" si="22">AG29*AE29</f>
        <v>4.2873999999999999</v>
      </c>
    </row>
    <row r="30" spans="1:34" x14ac:dyDescent="0.2">
      <c r="A30" s="1" t="s">
        <v>38</v>
      </c>
      <c r="B30" s="3">
        <v>385</v>
      </c>
      <c r="C30" s="5" t="s">
        <v>12</v>
      </c>
      <c r="D30" s="6">
        <f t="shared" si="0"/>
        <v>0.38500000000000001</v>
      </c>
      <c r="F30" s="1" t="s">
        <v>41</v>
      </c>
      <c r="G30" s="1">
        <f>SUM(G23:G29)</f>
        <v>22990</v>
      </c>
      <c r="H30" s="1" t="s">
        <v>22</v>
      </c>
      <c r="I30" s="1"/>
      <c r="J30" s="1">
        <f>SUM(J23:J29)</f>
        <v>3390.8055999999997</v>
      </c>
      <c r="L30" s="182"/>
      <c r="M30" s="182"/>
      <c r="N30" s="182"/>
      <c r="O30" s="182"/>
      <c r="P30" s="176"/>
      <c r="X30" s="75" t="s">
        <v>217</v>
      </c>
      <c r="Y30" s="77"/>
      <c r="AD30" s="1" t="s">
        <v>41</v>
      </c>
      <c r="AE30" s="1"/>
      <c r="AF30" s="1"/>
      <c r="AG30" s="1"/>
      <c r="AH30" s="21">
        <f>SUM(AH28:AH29)</f>
        <v>5.3348499999999994</v>
      </c>
    </row>
    <row r="31" spans="1:34" x14ac:dyDescent="0.2">
      <c r="A31" s="1" t="s">
        <v>100</v>
      </c>
      <c r="B31" s="3">
        <v>247.35</v>
      </c>
      <c r="C31" s="5" t="s">
        <v>12</v>
      </c>
      <c r="D31" s="6">
        <f t="shared" si="0"/>
        <v>0.24734999999999999</v>
      </c>
      <c r="F31" s="1" t="s">
        <v>43</v>
      </c>
      <c r="G31" s="1"/>
      <c r="H31" s="1" t="s">
        <v>22</v>
      </c>
      <c r="I31" s="1"/>
      <c r="J31" s="1">
        <f>J30/G30</f>
        <v>0.14749045672031316</v>
      </c>
      <c r="L31" s="50"/>
      <c r="M31" s="50"/>
      <c r="N31" s="50"/>
      <c r="O31" s="50"/>
      <c r="P31" s="50"/>
      <c r="R31" s="110" t="s">
        <v>127</v>
      </c>
      <c r="S31" s="110"/>
      <c r="T31" s="110"/>
      <c r="U31" s="110"/>
      <c r="V31" s="110"/>
      <c r="X31" s="43" t="s">
        <v>415</v>
      </c>
      <c r="Y31" s="43">
        <f>AB17</f>
        <v>1.4824999999999999</v>
      </c>
    </row>
    <row r="32" spans="1:34" x14ac:dyDescent="0.2">
      <c r="A32" s="1" t="s">
        <v>104</v>
      </c>
      <c r="B32" s="3">
        <v>298.3</v>
      </c>
      <c r="C32" s="5" t="s">
        <v>12</v>
      </c>
      <c r="D32" s="6">
        <f t="shared" si="0"/>
        <v>0.29830000000000001</v>
      </c>
      <c r="L32" s="62" t="s">
        <v>127</v>
      </c>
      <c r="M32" s="62"/>
      <c r="N32" s="62"/>
      <c r="O32" s="62"/>
      <c r="P32" s="62"/>
      <c r="R32" s="1" t="s">
        <v>231</v>
      </c>
      <c r="S32" s="1">
        <v>60</v>
      </c>
      <c r="T32" s="1" t="s">
        <v>129</v>
      </c>
      <c r="U32" s="55" t="s">
        <v>238</v>
      </c>
      <c r="V32" s="56"/>
      <c r="X32" s="1" t="s">
        <v>496</v>
      </c>
      <c r="Y32" s="1">
        <f>Y28*U39</f>
        <v>1.3511029411764706</v>
      </c>
      <c r="AD32" s="111" t="s">
        <v>127</v>
      </c>
      <c r="AE32" s="111"/>
      <c r="AF32" s="111"/>
      <c r="AG32" s="111"/>
      <c r="AH32" s="111"/>
    </row>
    <row r="33" spans="1:34" x14ac:dyDescent="0.2">
      <c r="A33" s="1" t="s">
        <v>48</v>
      </c>
      <c r="B33" s="3">
        <v>281.25</v>
      </c>
      <c r="C33" s="5" t="s">
        <v>12</v>
      </c>
      <c r="D33" s="6">
        <f t="shared" si="0"/>
        <v>0.28125</v>
      </c>
      <c r="F33" s="106" t="s">
        <v>239</v>
      </c>
      <c r="G33" s="106"/>
      <c r="H33" s="106"/>
      <c r="I33" s="106"/>
      <c r="J33" s="106"/>
      <c r="L33" s="179" t="s">
        <v>781</v>
      </c>
      <c r="M33" s="179">
        <f>M29*48</f>
        <v>14.25</v>
      </c>
      <c r="N33" s="179" t="s">
        <v>129</v>
      </c>
      <c r="O33" s="180">
        <v>48</v>
      </c>
      <c r="P33" s="181"/>
      <c r="R33" s="1" t="s">
        <v>241</v>
      </c>
      <c r="S33" s="1">
        <v>70</v>
      </c>
      <c r="T33" s="1" t="s">
        <v>129</v>
      </c>
      <c r="U33" s="55" t="s">
        <v>238</v>
      </c>
      <c r="V33" s="56"/>
      <c r="X33" s="33" t="s">
        <v>504</v>
      </c>
      <c r="Y33" s="21">
        <f>SUM(Y31:Y32)</f>
        <v>2.8336029411764705</v>
      </c>
      <c r="AD33" s="1"/>
      <c r="AE33" s="1"/>
      <c r="AF33" s="1"/>
      <c r="AG33" s="55"/>
      <c r="AH33" s="56"/>
    </row>
    <row r="34" spans="1:34" x14ac:dyDescent="0.2">
      <c r="A34" s="1" t="s">
        <v>105</v>
      </c>
      <c r="B34" s="3">
        <v>299.16000000000003</v>
      </c>
      <c r="C34" s="5" t="s">
        <v>12</v>
      </c>
      <c r="D34" s="6">
        <f t="shared" si="0"/>
        <v>0.29916000000000004</v>
      </c>
      <c r="F34" s="1" t="s">
        <v>39</v>
      </c>
      <c r="G34" s="1">
        <v>2000</v>
      </c>
      <c r="H34" s="1" t="s">
        <v>22</v>
      </c>
      <c r="I34" s="1">
        <f>_xlfn.XLOOKUP(F34,A13:A123,D13:D123)</f>
        <v>5.6149999999999999E-2</v>
      </c>
      <c r="J34" s="1">
        <f>I34*G34</f>
        <v>112.3</v>
      </c>
      <c r="L34" s="179" t="s">
        <v>233</v>
      </c>
      <c r="M34" s="179">
        <v>35</v>
      </c>
      <c r="N34" s="179" t="s">
        <v>129</v>
      </c>
      <c r="O34" s="180" t="s">
        <v>582</v>
      </c>
      <c r="P34" s="181"/>
      <c r="R34" s="1" t="s">
        <v>242</v>
      </c>
      <c r="S34" s="1">
        <v>35</v>
      </c>
      <c r="T34" s="1" t="s">
        <v>129</v>
      </c>
      <c r="U34" s="55" t="s">
        <v>238</v>
      </c>
      <c r="V34" s="56"/>
      <c r="AD34" s="1"/>
      <c r="AE34" s="1"/>
      <c r="AF34" s="1"/>
      <c r="AG34" s="55"/>
      <c r="AH34" s="56"/>
    </row>
    <row r="35" spans="1:34" ht="27.75" x14ac:dyDescent="0.2">
      <c r="A35" s="2" t="s">
        <v>106</v>
      </c>
      <c r="B35" s="3">
        <v>432.5</v>
      </c>
      <c r="C35" s="5" t="s">
        <v>12</v>
      </c>
      <c r="D35" s="6">
        <f t="shared" si="0"/>
        <v>0.4325</v>
      </c>
      <c r="F35" s="1" t="s">
        <v>88</v>
      </c>
      <c r="G35" s="1">
        <v>900</v>
      </c>
      <c r="H35" s="1" t="s">
        <v>22</v>
      </c>
      <c r="I35" s="1">
        <f t="shared" ref="I35:I39" si="23">_xlfn.XLOOKUP(F35,A14:A124,D14:D124)</f>
        <v>0.35039999999999999</v>
      </c>
      <c r="J35" s="1">
        <f t="shared" ref="J35:J36" si="24">I35*G35</f>
        <v>315.36</v>
      </c>
      <c r="L35" s="179" t="s">
        <v>235</v>
      </c>
      <c r="M35" s="179">
        <v>45</v>
      </c>
      <c r="N35" s="179" t="s">
        <v>129</v>
      </c>
      <c r="O35" s="180" t="s">
        <v>582</v>
      </c>
      <c r="P35" s="181"/>
      <c r="R35" s="1" t="s">
        <v>243</v>
      </c>
      <c r="S35" s="1">
        <v>120</v>
      </c>
      <c r="T35" s="1" t="s">
        <v>129</v>
      </c>
      <c r="U35" s="55" t="s">
        <v>238</v>
      </c>
      <c r="V35" s="56"/>
      <c r="X35" s="75" t="s">
        <v>220</v>
      </c>
      <c r="Y35" s="77"/>
      <c r="AD35" s="1" t="s">
        <v>678</v>
      </c>
      <c r="AE35" s="1"/>
      <c r="AF35" s="1"/>
      <c r="AG35" s="55"/>
      <c r="AH35" s="56"/>
    </row>
    <row r="36" spans="1:34" x14ac:dyDescent="0.2">
      <c r="A36" s="2" t="s">
        <v>107</v>
      </c>
      <c r="B36" s="3">
        <v>317</v>
      </c>
      <c r="C36" s="5" t="s">
        <v>12</v>
      </c>
      <c r="D36" s="6">
        <f t="shared" si="0"/>
        <v>0.317</v>
      </c>
      <c r="F36" s="1" t="s">
        <v>26</v>
      </c>
      <c r="G36" s="1">
        <v>2240</v>
      </c>
      <c r="H36" s="1" t="s">
        <v>22</v>
      </c>
      <c r="I36" s="1">
        <f>_xlfn.XLOOKUP(F36,A2:A125,D2:D125)</f>
        <v>1.315E-2</v>
      </c>
      <c r="J36" s="1">
        <f t="shared" si="24"/>
        <v>29.456</v>
      </c>
      <c r="L36" s="179" t="s">
        <v>236</v>
      </c>
      <c r="M36" s="179">
        <v>7</v>
      </c>
      <c r="N36" s="179" t="s">
        <v>129</v>
      </c>
      <c r="O36" s="180" t="s">
        <v>582</v>
      </c>
      <c r="P36" s="181"/>
      <c r="R36" s="1" t="s">
        <v>237</v>
      </c>
      <c r="S36" s="1">
        <f>SUM(S32:S35)</f>
        <v>285</v>
      </c>
      <c r="T36" s="1" t="s">
        <v>129</v>
      </c>
      <c r="U36" s="55" t="s">
        <v>238</v>
      </c>
      <c r="V36" s="56"/>
      <c r="X36" s="43" t="s">
        <v>415</v>
      </c>
      <c r="Y36" s="43">
        <f>AB21</f>
        <v>1.4802999999999999</v>
      </c>
      <c r="AD36" s="1"/>
      <c r="AE36" s="1"/>
      <c r="AF36" s="1"/>
      <c r="AG36" s="55"/>
      <c r="AH36" s="56"/>
    </row>
    <row r="37" spans="1:34" x14ac:dyDescent="0.2">
      <c r="A37" s="2" t="s">
        <v>66</v>
      </c>
      <c r="B37" s="3">
        <v>356</v>
      </c>
      <c r="C37" s="5" t="s">
        <v>12</v>
      </c>
      <c r="D37" s="6">
        <f t="shared" si="0"/>
        <v>0.35599999999999998</v>
      </c>
      <c r="F37" s="1" t="s">
        <v>51</v>
      </c>
      <c r="G37" s="1">
        <v>4000</v>
      </c>
      <c r="H37" s="1" t="s">
        <v>22</v>
      </c>
      <c r="I37" s="1">
        <f t="shared" si="23"/>
        <v>9.0999999999999998E-2</v>
      </c>
      <c r="J37" s="1">
        <f>I37*G37</f>
        <v>364</v>
      </c>
      <c r="L37" s="1" t="s">
        <v>237</v>
      </c>
      <c r="M37" s="1">
        <f>SUM(M33:M36)</f>
        <v>101.25</v>
      </c>
      <c r="N37" s="1" t="s">
        <v>129</v>
      </c>
      <c r="O37" s="55">
        <v>48</v>
      </c>
      <c r="P37" s="56"/>
      <c r="R37" s="33" t="s">
        <v>240</v>
      </c>
      <c r="S37" s="34">
        <f>S36/560</f>
        <v>0.5089285714285714</v>
      </c>
      <c r="T37" s="33" t="s">
        <v>129</v>
      </c>
      <c r="U37" s="57" t="s">
        <v>244</v>
      </c>
      <c r="V37" s="58"/>
      <c r="X37" s="1" t="s">
        <v>496</v>
      </c>
      <c r="Y37" s="1">
        <f>Y28*U39</f>
        <v>1.3511029411764706</v>
      </c>
      <c r="AD37" s="1"/>
      <c r="AE37" s="1"/>
      <c r="AF37" s="1"/>
      <c r="AG37" s="55"/>
      <c r="AH37" s="56"/>
    </row>
    <row r="38" spans="1:34" x14ac:dyDescent="0.2">
      <c r="A38" s="2" t="s">
        <v>36</v>
      </c>
      <c r="B38" s="3">
        <v>329</v>
      </c>
      <c r="C38" s="5" t="s">
        <v>12</v>
      </c>
      <c r="D38" s="6">
        <f t="shared" si="0"/>
        <v>0.32900000000000001</v>
      </c>
      <c r="F38" s="1" t="s">
        <v>56</v>
      </c>
      <c r="G38" s="1">
        <v>4000</v>
      </c>
      <c r="H38" s="1" t="s">
        <v>22</v>
      </c>
      <c r="I38" s="1">
        <f t="shared" si="23"/>
        <v>0.1056</v>
      </c>
      <c r="J38" s="1">
        <f t="shared" ref="J38:J39" si="25">I38*G38</f>
        <v>422.4</v>
      </c>
      <c r="L38" s="33" t="s">
        <v>240</v>
      </c>
      <c r="M38" s="34">
        <f>M37/48</f>
        <v>2.109375</v>
      </c>
      <c r="N38" s="33" t="s">
        <v>129</v>
      </c>
      <c r="O38" s="57" t="s">
        <v>583</v>
      </c>
      <c r="P38" s="58"/>
      <c r="X38" s="33" t="s">
        <v>504</v>
      </c>
      <c r="Y38" s="21">
        <f>SUM(Y36:Y37)</f>
        <v>2.8314029411764707</v>
      </c>
      <c r="AD38" s="1"/>
      <c r="AE38" s="1"/>
      <c r="AF38" s="1"/>
      <c r="AG38" s="55"/>
      <c r="AH38" s="56"/>
    </row>
    <row r="39" spans="1:34" x14ac:dyDescent="0.2">
      <c r="A39" s="2" t="s">
        <v>111</v>
      </c>
      <c r="B39" s="3">
        <v>329.8</v>
      </c>
      <c r="C39" s="5" t="s">
        <v>12</v>
      </c>
      <c r="D39" s="6">
        <f t="shared" si="0"/>
        <v>0.32980000000000004</v>
      </c>
      <c r="F39" s="1" t="s">
        <v>62</v>
      </c>
      <c r="G39" s="1">
        <v>60</v>
      </c>
      <c r="H39" s="1" t="s">
        <v>22</v>
      </c>
      <c r="I39" s="1">
        <f t="shared" si="23"/>
        <v>0.11466</v>
      </c>
      <c r="J39" s="1">
        <f t="shared" si="25"/>
        <v>6.8795999999999999</v>
      </c>
      <c r="R39" s="1" t="s">
        <v>503</v>
      </c>
      <c r="S39" s="1">
        <v>375</v>
      </c>
      <c r="T39" s="1" t="s">
        <v>494</v>
      </c>
      <c r="U39" s="1">
        <f>S39/60</f>
        <v>6.25</v>
      </c>
      <c r="V39" s="1" t="s">
        <v>129</v>
      </c>
      <c r="AD39" s="1"/>
      <c r="AE39" s="1"/>
      <c r="AF39" s="1"/>
      <c r="AG39" s="55"/>
      <c r="AH39" s="56"/>
    </row>
    <row r="40" spans="1:34" x14ac:dyDescent="0.2">
      <c r="A40" s="1" t="s">
        <v>113</v>
      </c>
      <c r="B40" s="3">
        <v>445.5</v>
      </c>
      <c r="C40" s="5" t="s">
        <v>12</v>
      </c>
      <c r="D40" s="6">
        <f t="shared" si="0"/>
        <v>0.44550000000000001</v>
      </c>
      <c r="F40" s="2" t="s">
        <v>66</v>
      </c>
      <c r="G40" s="1">
        <v>5680</v>
      </c>
      <c r="H40" s="1" t="s">
        <v>22</v>
      </c>
      <c r="I40" s="1">
        <f>_xlfn.XLOOKUP(F40,A17:A127,D17:D127)</f>
        <v>0.35599999999999998</v>
      </c>
      <c r="J40" s="1">
        <f t="shared" ref="J40:J41" si="26">I40*G40</f>
        <v>2022.08</v>
      </c>
      <c r="L40" s="75" t="s">
        <v>584</v>
      </c>
      <c r="M40" s="77"/>
      <c r="AD40" s="1"/>
      <c r="AE40" s="1"/>
      <c r="AF40" s="1"/>
      <c r="AG40" s="55"/>
      <c r="AH40" s="56"/>
    </row>
    <row r="41" spans="1:34" x14ac:dyDescent="0.2">
      <c r="A41" s="1" t="s">
        <v>115</v>
      </c>
      <c r="B41" s="3">
        <v>24.09</v>
      </c>
      <c r="C41" s="5" t="s">
        <v>12</v>
      </c>
      <c r="D41" s="6">
        <f t="shared" si="0"/>
        <v>2.409E-2</v>
      </c>
      <c r="F41" s="1" t="s">
        <v>24</v>
      </c>
      <c r="G41" s="1">
        <v>4160</v>
      </c>
      <c r="H41" s="1" t="s">
        <v>22</v>
      </c>
      <c r="I41" s="1">
        <f>_xlfn.XLOOKUP(F41,A18:A128,D18:D128)</f>
        <v>7.6060000000000003E-2</v>
      </c>
      <c r="J41" s="1">
        <f t="shared" si="26"/>
        <v>316.40960000000001</v>
      </c>
      <c r="L41" s="43" t="s">
        <v>415</v>
      </c>
      <c r="M41" s="43">
        <f>P25</f>
        <v>9.4110000000000014</v>
      </c>
      <c r="R41" s="113" t="s">
        <v>223</v>
      </c>
      <c r="S41" s="114"/>
      <c r="AD41" s="33"/>
      <c r="AE41" s="35"/>
      <c r="AF41" s="33"/>
      <c r="AG41" s="57"/>
      <c r="AH41" s="58"/>
    </row>
    <row r="42" spans="1:34" x14ac:dyDescent="0.2">
      <c r="A42" s="1" t="s">
        <v>120</v>
      </c>
      <c r="B42" s="3">
        <v>41.4</v>
      </c>
      <c r="C42" s="5" t="s">
        <v>12</v>
      </c>
      <c r="D42" s="6">
        <f t="shared" si="0"/>
        <v>4.1399999999999999E-2</v>
      </c>
      <c r="F42" s="1" t="s">
        <v>41</v>
      </c>
      <c r="G42" s="1">
        <f>SUM(G34:G41)</f>
        <v>23040</v>
      </c>
      <c r="H42" s="1" t="s">
        <v>22</v>
      </c>
      <c r="I42" s="1"/>
      <c r="J42" s="1">
        <f>SUM(J34:J41)</f>
        <v>3588.8851999999997</v>
      </c>
      <c r="L42" s="1" t="s">
        <v>496</v>
      </c>
      <c r="M42" s="1">
        <f>M38*G165</f>
        <v>13.18359375</v>
      </c>
      <c r="R42" s="43" t="s">
        <v>415</v>
      </c>
      <c r="S42" s="43">
        <f>V24</f>
        <v>5.1019600000000001</v>
      </c>
    </row>
    <row r="43" spans="1:34" x14ac:dyDescent="0.2">
      <c r="A43" s="1" t="s">
        <v>122</v>
      </c>
      <c r="B43" s="3">
        <v>63.2</v>
      </c>
      <c r="C43" s="5" t="s">
        <v>12</v>
      </c>
      <c r="D43" s="6">
        <f t="shared" si="0"/>
        <v>6.3200000000000006E-2</v>
      </c>
      <c r="F43" s="1" t="s">
        <v>43</v>
      </c>
      <c r="G43" s="1"/>
      <c r="H43" s="1" t="s">
        <v>22</v>
      </c>
      <c r="I43" s="1"/>
      <c r="J43" s="1">
        <f>J42/G42</f>
        <v>0.15576758680555555</v>
      </c>
      <c r="L43" s="33" t="s">
        <v>585</v>
      </c>
      <c r="M43" s="21">
        <f>SUM(M41:M42)</f>
        <v>22.594593750000001</v>
      </c>
      <c r="R43" s="1" t="s">
        <v>496</v>
      </c>
      <c r="S43" s="1">
        <f>$S$37*$U$39</f>
        <v>3.1808035714285712</v>
      </c>
    </row>
    <row r="44" spans="1:34" x14ac:dyDescent="0.2">
      <c r="A44" s="1" t="s">
        <v>126</v>
      </c>
      <c r="B44" s="3">
        <v>216.85</v>
      </c>
      <c r="C44" s="5" t="s">
        <v>12</v>
      </c>
      <c r="D44" s="6">
        <f t="shared" si="0"/>
        <v>0.21684999999999999</v>
      </c>
      <c r="R44" s="33" t="s">
        <v>504</v>
      </c>
      <c r="S44" s="21">
        <f>SUM(S42:S43)</f>
        <v>8.2827635714285712</v>
      </c>
    </row>
    <row r="45" spans="1:34" x14ac:dyDescent="0.2">
      <c r="A45" s="1" t="s">
        <v>29</v>
      </c>
      <c r="B45" s="3">
        <v>81</v>
      </c>
      <c r="C45" s="5" t="s">
        <v>12</v>
      </c>
      <c r="D45" s="6">
        <f t="shared" si="0"/>
        <v>8.1000000000000003E-2</v>
      </c>
      <c r="F45" s="106" t="s">
        <v>245</v>
      </c>
      <c r="G45" s="106"/>
      <c r="H45" s="106"/>
      <c r="I45" s="106"/>
      <c r="J45" s="106"/>
    </row>
    <row r="46" spans="1:34" x14ac:dyDescent="0.2">
      <c r="A46" s="1" t="s">
        <v>90</v>
      </c>
      <c r="B46" s="3">
        <v>930</v>
      </c>
      <c r="C46" s="5" t="s">
        <v>12</v>
      </c>
      <c r="D46" s="6">
        <f t="shared" si="0"/>
        <v>0.93</v>
      </c>
      <c r="F46" s="1" t="s">
        <v>39</v>
      </c>
      <c r="G46" s="1">
        <v>2000</v>
      </c>
      <c r="H46" s="1" t="s">
        <v>22</v>
      </c>
      <c r="I46" s="1">
        <f>_xlfn.XLOOKUP(F46,A2:A135,D2:D135)</f>
        <v>5.6149999999999999E-2</v>
      </c>
      <c r="J46" s="1">
        <f>I46*G46</f>
        <v>112.3</v>
      </c>
      <c r="R46" s="113" t="s">
        <v>229</v>
      </c>
      <c r="S46" s="114"/>
    </row>
    <row r="47" spans="1:34" x14ac:dyDescent="0.2">
      <c r="A47" s="1" t="s">
        <v>130</v>
      </c>
      <c r="B47" s="3">
        <v>750</v>
      </c>
      <c r="C47" s="5" t="s">
        <v>12</v>
      </c>
      <c r="D47" s="6">
        <f t="shared" si="0"/>
        <v>0.75</v>
      </c>
      <c r="F47" s="1" t="s">
        <v>88</v>
      </c>
      <c r="G47" s="1">
        <v>900</v>
      </c>
      <c r="H47" s="1" t="s">
        <v>22</v>
      </c>
      <c r="I47" s="1">
        <f t="shared" ref="I47:I51" si="27">_xlfn.XLOOKUP(F47,A3:A136,D3:D136)</f>
        <v>0.35039999999999999</v>
      </c>
      <c r="J47" s="1">
        <f t="shared" ref="J47:J48" si="28">I47*G47</f>
        <v>315.36</v>
      </c>
      <c r="R47" s="43" t="s">
        <v>415</v>
      </c>
      <c r="S47" s="43">
        <f>V29</f>
        <v>5.1123599999999998</v>
      </c>
    </row>
    <row r="48" spans="1:34" x14ac:dyDescent="0.2">
      <c r="A48" s="1" t="s">
        <v>135</v>
      </c>
      <c r="B48" s="3">
        <v>1224</v>
      </c>
      <c r="C48" s="5" t="s">
        <v>12</v>
      </c>
      <c r="D48" s="6">
        <f t="shared" si="0"/>
        <v>1.224</v>
      </c>
      <c r="F48" s="1" t="s">
        <v>26</v>
      </c>
      <c r="G48" s="1">
        <v>2240</v>
      </c>
      <c r="H48" s="1" t="s">
        <v>22</v>
      </c>
      <c r="I48" s="1">
        <f t="shared" si="27"/>
        <v>1.315E-2</v>
      </c>
      <c r="J48" s="1">
        <f t="shared" si="28"/>
        <v>29.456</v>
      </c>
      <c r="R48" s="1" t="s">
        <v>496</v>
      </c>
      <c r="S48" s="1">
        <f>$S$37*$U$39</f>
        <v>3.1808035714285712</v>
      </c>
    </row>
    <row r="49" spans="1:19" x14ac:dyDescent="0.2">
      <c r="A49" s="1" t="s">
        <v>140</v>
      </c>
      <c r="B49" s="3">
        <v>760</v>
      </c>
      <c r="C49" s="5" t="s">
        <v>12</v>
      </c>
      <c r="D49" s="6">
        <f t="shared" si="0"/>
        <v>0.76</v>
      </c>
      <c r="F49" s="1" t="s">
        <v>86</v>
      </c>
      <c r="G49" s="1">
        <v>8000</v>
      </c>
      <c r="H49" s="1" t="s">
        <v>22</v>
      </c>
      <c r="I49" s="1">
        <f t="shared" si="27"/>
        <v>0.126</v>
      </c>
      <c r="J49" s="1">
        <f>I49*G49</f>
        <v>1008</v>
      </c>
      <c r="R49" s="33" t="s">
        <v>505</v>
      </c>
      <c r="S49" s="21">
        <f>SUM(S47:S48)</f>
        <v>8.2931635714285719</v>
      </c>
    </row>
    <row r="50" spans="1:19" x14ac:dyDescent="0.2">
      <c r="A50" s="1" t="s">
        <v>44</v>
      </c>
      <c r="B50" s="3">
        <v>658</v>
      </c>
      <c r="C50" s="5" t="s">
        <v>12</v>
      </c>
      <c r="D50" s="6">
        <f t="shared" si="0"/>
        <v>0.65800000000000003</v>
      </c>
      <c r="F50" s="2" t="s">
        <v>111</v>
      </c>
      <c r="G50" s="1">
        <v>5680</v>
      </c>
      <c r="H50" s="1" t="s">
        <v>22</v>
      </c>
      <c r="I50" s="1">
        <f t="shared" si="27"/>
        <v>0.32980000000000004</v>
      </c>
      <c r="J50" s="1">
        <f t="shared" ref="J50:J51" si="29">I50*G50</f>
        <v>1873.2640000000001</v>
      </c>
    </row>
    <row r="51" spans="1:19" x14ac:dyDescent="0.2">
      <c r="A51" s="1" t="s">
        <v>145</v>
      </c>
      <c r="B51" s="3">
        <v>836</v>
      </c>
      <c r="C51" s="5" t="s">
        <v>12</v>
      </c>
      <c r="D51" s="6">
        <f t="shared" si="0"/>
        <v>0.83599999999999997</v>
      </c>
      <c r="F51" s="1" t="s">
        <v>24</v>
      </c>
      <c r="G51" s="1">
        <v>4160</v>
      </c>
      <c r="H51" s="1" t="s">
        <v>22</v>
      </c>
      <c r="I51" s="1">
        <f t="shared" si="27"/>
        <v>7.6060000000000003E-2</v>
      </c>
      <c r="J51" s="1">
        <f t="shared" si="29"/>
        <v>316.40960000000001</v>
      </c>
    </row>
    <row r="52" spans="1:19" x14ac:dyDescent="0.2">
      <c r="A52" s="1" t="s">
        <v>88</v>
      </c>
      <c r="B52" s="3">
        <v>350.4</v>
      </c>
      <c r="C52" s="5" t="s">
        <v>12</v>
      </c>
      <c r="D52" s="6">
        <f t="shared" si="0"/>
        <v>0.35039999999999999</v>
      </c>
      <c r="F52" s="1" t="s">
        <v>41</v>
      </c>
      <c r="G52" s="1">
        <f>SUM(G46:G51)</f>
        <v>22980</v>
      </c>
      <c r="H52" s="1" t="s">
        <v>22</v>
      </c>
      <c r="I52" s="1"/>
      <c r="J52" s="1">
        <f>SUM(J46:J51)</f>
        <v>3654.7896000000001</v>
      </c>
    </row>
    <row r="53" spans="1:19" x14ac:dyDescent="0.2">
      <c r="A53" s="1" t="s">
        <v>148</v>
      </c>
      <c r="B53" s="3">
        <v>48.8</v>
      </c>
      <c r="C53" s="5" t="s">
        <v>12</v>
      </c>
      <c r="D53" s="6">
        <f t="shared" si="0"/>
        <v>4.8799999999999996E-2</v>
      </c>
      <c r="F53" s="1" t="s">
        <v>43</v>
      </c>
      <c r="G53" s="1"/>
      <c r="H53" s="1" t="s">
        <v>22</v>
      </c>
      <c r="I53" s="1"/>
      <c r="J53" s="1">
        <f>J52/G52</f>
        <v>0.15904219321148824</v>
      </c>
    </row>
    <row r="54" spans="1:19" x14ac:dyDescent="0.2">
      <c r="A54" s="1" t="s">
        <v>150</v>
      </c>
      <c r="B54" s="3">
        <v>85</v>
      </c>
      <c r="C54" s="5" t="s">
        <v>12</v>
      </c>
      <c r="D54" s="6">
        <f t="shared" si="0"/>
        <v>8.5000000000000006E-2</v>
      </c>
    </row>
    <row r="55" spans="1:19" x14ac:dyDescent="0.2">
      <c r="A55" s="1" t="s">
        <v>153</v>
      </c>
      <c r="B55" s="3">
        <v>144</v>
      </c>
      <c r="C55" s="5" t="s">
        <v>12</v>
      </c>
      <c r="D55" s="6">
        <f t="shared" si="0"/>
        <v>0.14399999999999999</v>
      </c>
      <c r="F55" s="106" t="s">
        <v>246</v>
      </c>
      <c r="G55" s="106"/>
      <c r="H55" s="106"/>
      <c r="I55" s="106"/>
      <c r="J55" s="106"/>
    </row>
    <row r="56" spans="1:19" x14ac:dyDescent="0.2">
      <c r="A56" s="1" t="s">
        <v>155</v>
      </c>
      <c r="B56" s="3">
        <v>157.44</v>
      </c>
      <c r="C56" s="5" t="s">
        <v>12</v>
      </c>
      <c r="D56" s="6">
        <f t="shared" si="0"/>
        <v>0.15744</v>
      </c>
      <c r="F56" s="1" t="s">
        <v>39</v>
      </c>
      <c r="G56" s="1">
        <v>2000</v>
      </c>
      <c r="H56" s="1" t="s">
        <v>22</v>
      </c>
      <c r="I56" s="1">
        <f>_xlfn.XLOOKUP(F56,A2:A145,D2:D145)</f>
        <v>5.6149999999999999E-2</v>
      </c>
      <c r="J56" s="1">
        <f>I56*G56</f>
        <v>112.3</v>
      </c>
    </row>
    <row r="57" spans="1:19" x14ac:dyDescent="0.2">
      <c r="A57" s="1" t="s">
        <v>140</v>
      </c>
      <c r="B57" s="3">
        <v>812.8</v>
      </c>
      <c r="C57" s="5" t="s">
        <v>12</v>
      </c>
      <c r="D57" s="6">
        <f t="shared" si="0"/>
        <v>0.81279999999999997</v>
      </c>
      <c r="F57" s="1" t="s">
        <v>88</v>
      </c>
      <c r="G57" s="1">
        <v>900</v>
      </c>
      <c r="H57" s="1" t="s">
        <v>22</v>
      </c>
      <c r="I57" s="1">
        <f t="shared" ref="I57:I61" si="30">_xlfn.XLOOKUP(F57,A3:A146,D3:D146)</f>
        <v>0.35039999999999999</v>
      </c>
      <c r="J57" s="1">
        <f t="shared" ref="J57:J58" si="31">I57*G57</f>
        <v>315.36</v>
      </c>
    </row>
    <row r="58" spans="1:19" x14ac:dyDescent="0.2">
      <c r="A58" s="1" t="s">
        <v>74</v>
      </c>
      <c r="B58" s="3">
        <v>206.63</v>
      </c>
      <c r="C58" s="5" t="s">
        <v>12</v>
      </c>
      <c r="D58" s="6">
        <f t="shared" si="0"/>
        <v>0.20663000000000001</v>
      </c>
      <c r="F58" s="1" t="s">
        <v>26</v>
      </c>
      <c r="G58" s="1">
        <v>2240</v>
      </c>
      <c r="H58" s="1" t="s">
        <v>22</v>
      </c>
      <c r="I58" s="1">
        <f t="shared" si="30"/>
        <v>1.315E-2</v>
      </c>
      <c r="J58" s="1">
        <f t="shared" si="31"/>
        <v>29.456</v>
      </c>
    </row>
    <row r="59" spans="1:19" x14ac:dyDescent="0.2">
      <c r="A59" s="1" t="s">
        <v>161</v>
      </c>
      <c r="B59" s="3">
        <v>50</v>
      </c>
      <c r="C59" s="5" t="s">
        <v>12</v>
      </c>
      <c r="D59" s="6">
        <f t="shared" si="0"/>
        <v>0.05</v>
      </c>
      <c r="F59" s="1" t="s">
        <v>247</v>
      </c>
      <c r="G59" s="1">
        <v>8000</v>
      </c>
      <c r="H59" s="1" t="s">
        <v>22</v>
      </c>
      <c r="I59" s="1">
        <f t="shared" si="30"/>
        <v>0.16700000000000001</v>
      </c>
      <c r="J59" s="1">
        <f>I59*G59</f>
        <v>1336</v>
      </c>
    </row>
    <row r="60" spans="1:19" x14ac:dyDescent="0.2">
      <c r="A60" s="1" t="s">
        <v>163</v>
      </c>
      <c r="B60" s="3">
        <v>75</v>
      </c>
      <c r="C60" s="5" t="s">
        <v>12</v>
      </c>
      <c r="D60" s="6">
        <f t="shared" si="0"/>
        <v>7.4999999999999997E-2</v>
      </c>
      <c r="F60" s="2" t="s">
        <v>66</v>
      </c>
      <c r="G60" s="1">
        <v>5680</v>
      </c>
      <c r="H60" s="1" t="s">
        <v>22</v>
      </c>
      <c r="I60" s="1">
        <f t="shared" si="30"/>
        <v>0.35599999999999998</v>
      </c>
      <c r="J60" s="1">
        <f t="shared" ref="J60:J61" si="32">I60*G60</f>
        <v>2022.08</v>
      </c>
    </row>
    <row r="61" spans="1:19" x14ac:dyDescent="0.2">
      <c r="A61" s="1" t="s">
        <v>164</v>
      </c>
      <c r="B61" s="3">
        <v>173.2</v>
      </c>
      <c r="C61" s="5" t="s">
        <v>12</v>
      </c>
      <c r="D61" s="6">
        <f t="shared" si="0"/>
        <v>0.17319999999999999</v>
      </c>
      <c r="F61" s="1" t="s">
        <v>24</v>
      </c>
      <c r="G61" s="1">
        <v>4160</v>
      </c>
      <c r="H61" s="1" t="s">
        <v>22</v>
      </c>
      <c r="I61" s="1">
        <f t="shared" si="30"/>
        <v>7.6060000000000003E-2</v>
      </c>
      <c r="J61" s="1">
        <f t="shared" si="32"/>
        <v>316.40960000000001</v>
      </c>
    </row>
    <row r="62" spans="1:19" x14ac:dyDescent="0.2">
      <c r="A62" s="1" t="s">
        <v>137</v>
      </c>
      <c r="B62" s="3">
        <v>611</v>
      </c>
      <c r="C62" s="5" t="s">
        <v>12</v>
      </c>
      <c r="D62" s="6">
        <f t="shared" si="0"/>
        <v>0.61099999999999999</v>
      </c>
      <c r="F62" s="1" t="s">
        <v>41</v>
      </c>
      <c r="G62" s="1">
        <f>SUM(G56:G61)</f>
        <v>22980</v>
      </c>
      <c r="H62" s="1" t="s">
        <v>22</v>
      </c>
      <c r="I62" s="1"/>
      <c r="J62" s="1">
        <f>SUM(J56:J61)</f>
        <v>4131.6055999999999</v>
      </c>
    </row>
    <row r="63" spans="1:19" x14ac:dyDescent="0.2">
      <c r="A63" s="1" t="s">
        <v>63</v>
      </c>
      <c r="B63" s="3">
        <v>454</v>
      </c>
      <c r="C63" s="5" t="s">
        <v>12</v>
      </c>
      <c r="D63" s="6">
        <f t="shared" si="0"/>
        <v>0.45400000000000001</v>
      </c>
      <c r="F63" s="1" t="s">
        <v>43</v>
      </c>
      <c r="G63" s="1"/>
      <c r="H63" s="1" t="s">
        <v>22</v>
      </c>
      <c r="I63" s="1"/>
      <c r="J63" s="1">
        <f>J62/G62</f>
        <v>0.17979136640557006</v>
      </c>
    </row>
    <row r="64" spans="1:19" x14ac:dyDescent="0.2">
      <c r="A64" s="1" t="s">
        <v>165</v>
      </c>
      <c r="B64" s="3">
        <v>224.8</v>
      </c>
      <c r="C64" s="5" t="s">
        <v>12</v>
      </c>
      <c r="D64" s="6">
        <f t="shared" si="0"/>
        <v>0.2248</v>
      </c>
    </row>
    <row r="65" spans="1:10" x14ac:dyDescent="0.2">
      <c r="A65" s="1" t="s">
        <v>168</v>
      </c>
      <c r="B65" s="3">
        <v>141.4</v>
      </c>
      <c r="C65" s="5" t="s">
        <v>12</v>
      </c>
      <c r="D65" s="6">
        <f t="shared" si="0"/>
        <v>0.1414</v>
      </c>
      <c r="F65" s="106" t="s">
        <v>248</v>
      </c>
      <c r="G65" s="106"/>
      <c r="H65" s="106"/>
      <c r="I65" s="106"/>
      <c r="J65" s="106"/>
    </row>
    <row r="66" spans="1:10" x14ac:dyDescent="0.2">
      <c r="A66" s="1" t="s">
        <v>169</v>
      </c>
      <c r="B66" s="3">
        <v>164</v>
      </c>
      <c r="C66" s="5" t="s">
        <v>12</v>
      </c>
      <c r="D66" s="6">
        <f t="shared" si="0"/>
        <v>0.16400000000000001</v>
      </c>
      <c r="F66" s="1" t="s">
        <v>39</v>
      </c>
      <c r="G66" s="1">
        <v>2000</v>
      </c>
      <c r="H66" s="1" t="s">
        <v>22</v>
      </c>
      <c r="I66" s="1">
        <f>_xlfn.XLOOKUP(F66,A2:A155,D2:D155)</f>
        <v>5.6149999999999999E-2</v>
      </c>
      <c r="J66" s="1">
        <f>I66*G66</f>
        <v>112.3</v>
      </c>
    </row>
    <row r="67" spans="1:10" x14ac:dyDescent="0.2">
      <c r="A67" s="1" t="s">
        <v>171</v>
      </c>
      <c r="B67" s="3">
        <v>166.24</v>
      </c>
      <c r="C67" s="5" t="s">
        <v>12</v>
      </c>
      <c r="D67" s="6">
        <f t="shared" ref="D67:D107" si="33">B67/1000</f>
        <v>0.16624</v>
      </c>
      <c r="F67" s="1" t="s">
        <v>26</v>
      </c>
      <c r="G67" s="1">
        <v>800</v>
      </c>
      <c r="H67" s="1" t="s">
        <v>22</v>
      </c>
      <c r="I67" s="1">
        <f t="shared" ref="I67:I74" si="34">_xlfn.XLOOKUP(F67,A3:A156,D3:D156)</f>
        <v>1.315E-2</v>
      </c>
      <c r="J67" s="1">
        <f t="shared" ref="J67:J68" si="35">I67*G67</f>
        <v>10.52</v>
      </c>
    </row>
    <row r="68" spans="1:10" x14ac:dyDescent="0.2">
      <c r="A68" s="1" t="s">
        <v>173</v>
      </c>
      <c r="B68" s="3">
        <v>168</v>
      </c>
      <c r="C68" s="5" t="s">
        <v>12</v>
      </c>
      <c r="D68" s="6">
        <f t="shared" si="33"/>
        <v>0.16800000000000001</v>
      </c>
      <c r="F68" s="1" t="s">
        <v>88</v>
      </c>
      <c r="G68" s="1">
        <v>900</v>
      </c>
      <c r="H68" s="1" t="s">
        <v>22</v>
      </c>
      <c r="I68" s="1">
        <f t="shared" si="34"/>
        <v>0.35039999999999999</v>
      </c>
      <c r="J68" s="1">
        <f t="shared" si="35"/>
        <v>315.36</v>
      </c>
    </row>
    <row r="69" spans="1:10" x14ac:dyDescent="0.2">
      <c r="A69" s="1" t="s">
        <v>174</v>
      </c>
      <c r="B69" s="3">
        <v>882</v>
      </c>
      <c r="C69" s="5" t="s">
        <v>12</v>
      </c>
      <c r="D69" s="6">
        <f t="shared" si="33"/>
        <v>0.88200000000000001</v>
      </c>
      <c r="F69" s="1" t="s">
        <v>26</v>
      </c>
      <c r="G69" s="1">
        <v>3200</v>
      </c>
      <c r="H69" s="1" t="s">
        <v>22</v>
      </c>
      <c r="I69" s="1">
        <f t="shared" si="34"/>
        <v>1.315E-2</v>
      </c>
      <c r="J69" s="1">
        <f>I69*G69</f>
        <v>42.08</v>
      </c>
    </row>
    <row r="70" spans="1:10" x14ac:dyDescent="0.2">
      <c r="A70" s="1" t="s">
        <v>176</v>
      </c>
      <c r="B70" s="3">
        <v>828</v>
      </c>
      <c r="C70" s="5" t="s">
        <v>12</v>
      </c>
      <c r="D70" s="6">
        <f t="shared" si="33"/>
        <v>0.82799999999999996</v>
      </c>
      <c r="F70" s="1" t="s">
        <v>39</v>
      </c>
      <c r="G70" s="1">
        <v>8000</v>
      </c>
      <c r="H70" s="1" t="s">
        <v>22</v>
      </c>
      <c r="I70" s="1">
        <f t="shared" si="34"/>
        <v>5.6149999999999999E-2</v>
      </c>
      <c r="J70" s="1">
        <f t="shared" ref="J70:J74" si="36">I70*G70</f>
        <v>449.2</v>
      </c>
    </row>
    <row r="71" spans="1:10" x14ac:dyDescent="0.2">
      <c r="A71" s="1" t="s">
        <v>179</v>
      </c>
      <c r="B71" s="3">
        <v>128</v>
      </c>
      <c r="C71" s="5" t="s">
        <v>12</v>
      </c>
      <c r="D71" s="6">
        <f t="shared" si="33"/>
        <v>0.128</v>
      </c>
      <c r="F71" s="2" t="s">
        <v>66</v>
      </c>
      <c r="G71" s="1">
        <v>5680</v>
      </c>
      <c r="H71" s="1" t="s">
        <v>22</v>
      </c>
      <c r="I71" s="1">
        <f t="shared" si="34"/>
        <v>0.35599999999999998</v>
      </c>
      <c r="J71" s="1">
        <f t="shared" si="36"/>
        <v>2022.08</v>
      </c>
    </row>
    <row r="72" spans="1:10" x14ac:dyDescent="0.2">
      <c r="A72" s="1" t="s">
        <v>181</v>
      </c>
      <c r="B72" s="4">
        <v>205.33</v>
      </c>
      <c r="C72" s="5" t="s">
        <v>12</v>
      </c>
      <c r="D72" s="6">
        <f t="shared" si="33"/>
        <v>0.20533000000000001</v>
      </c>
      <c r="F72" s="2" t="s">
        <v>24</v>
      </c>
      <c r="G72" s="1">
        <v>4160</v>
      </c>
      <c r="H72" s="1" t="s">
        <v>22</v>
      </c>
      <c r="I72" s="1">
        <f t="shared" si="34"/>
        <v>7.6060000000000003E-2</v>
      </c>
      <c r="J72" s="1">
        <f t="shared" si="36"/>
        <v>316.40960000000001</v>
      </c>
    </row>
    <row r="73" spans="1:10" x14ac:dyDescent="0.2">
      <c r="A73" s="1" t="s">
        <v>62</v>
      </c>
      <c r="B73" s="3">
        <v>114.66</v>
      </c>
      <c r="C73" s="5" t="s">
        <v>12</v>
      </c>
      <c r="D73" s="6">
        <f t="shared" si="33"/>
        <v>0.11466</v>
      </c>
      <c r="F73" s="1" t="s">
        <v>30</v>
      </c>
      <c r="G73" s="1">
        <v>80</v>
      </c>
      <c r="H73" s="1" t="s">
        <v>22</v>
      </c>
      <c r="I73" s="1">
        <f t="shared" si="34"/>
        <v>5.2500000000000003E-3</v>
      </c>
      <c r="J73" s="1">
        <f t="shared" si="36"/>
        <v>0.42000000000000004</v>
      </c>
    </row>
    <row r="74" spans="1:10" x14ac:dyDescent="0.2">
      <c r="A74" s="1" t="s">
        <v>86</v>
      </c>
      <c r="B74" s="3">
        <v>126</v>
      </c>
      <c r="C74" s="5" t="s">
        <v>12</v>
      </c>
      <c r="D74" s="6">
        <f t="shared" si="33"/>
        <v>0.126</v>
      </c>
      <c r="F74" s="1" t="s">
        <v>72</v>
      </c>
      <c r="G74" s="1">
        <v>1</v>
      </c>
      <c r="H74" s="1" t="s">
        <v>73</v>
      </c>
      <c r="I74" s="1">
        <f t="shared" si="34"/>
        <v>14.6</v>
      </c>
      <c r="J74" s="1">
        <f t="shared" si="36"/>
        <v>14.6</v>
      </c>
    </row>
    <row r="75" spans="1:10" x14ac:dyDescent="0.2">
      <c r="A75" s="1" t="s">
        <v>183</v>
      </c>
      <c r="B75" s="3">
        <v>167</v>
      </c>
      <c r="C75" s="5" t="s">
        <v>12</v>
      </c>
      <c r="D75" s="6">
        <f t="shared" si="33"/>
        <v>0.16700000000000001</v>
      </c>
      <c r="F75" s="1" t="s">
        <v>41</v>
      </c>
      <c r="G75" s="1">
        <f>SUM(G66:G74)</f>
        <v>24821</v>
      </c>
      <c r="H75" s="1" t="s">
        <v>22</v>
      </c>
      <c r="I75" s="1"/>
      <c r="J75" s="1">
        <f>SUM(J66:J73)</f>
        <v>3268.3696</v>
      </c>
    </row>
    <row r="76" spans="1:10" x14ac:dyDescent="0.2">
      <c r="A76" s="1" t="s">
        <v>184</v>
      </c>
      <c r="B76" s="3">
        <v>133.6</v>
      </c>
      <c r="C76" s="5" t="s">
        <v>12</v>
      </c>
      <c r="D76" s="6">
        <f t="shared" si="33"/>
        <v>0.1336</v>
      </c>
      <c r="F76" s="1" t="s">
        <v>43</v>
      </c>
      <c r="G76" s="1"/>
      <c r="H76" s="1" t="s">
        <v>22</v>
      </c>
      <c r="I76" s="1"/>
      <c r="J76" s="1">
        <f>J75/G75</f>
        <v>0.13167759558438419</v>
      </c>
    </row>
    <row r="77" spans="1:10" x14ac:dyDescent="0.2">
      <c r="A77" s="1" t="s">
        <v>186</v>
      </c>
      <c r="B77" s="3">
        <v>113.6</v>
      </c>
      <c r="C77" s="5" t="s">
        <v>12</v>
      </c>
      <c r="D77" s="6">
        <f t="shared" si="33"/>
        <v>0.11359999999999999</v>
      </c>
    </row>
    <row r="78" spans="1:10" x14ac:dyDescent="0.2">
      <c r="A78" s="1" t="s">
        <v>51</v>
      </c>
      <c r="B78" s="4">
        <v>91</v>
      </c>
      <c r="C78" s="5" t="s">
        <v>12</v>
      </c>
      <c r="D78" s="6">
        <f t="shared" si="33"/>
        <v>9.0999999999999998E-2</v>
      </c>
      <c r="F78" s="106" t="s">
        <v>249</v>
      </c>
      <c r="G78" s="106"/>
      <c r="H78" s="106"/>
      <c r="I78" s="106"/>
      <c r="J78" s="106"/>
    </row>
    <row r="79" spans="1:10" x14ac:dyDescent="0.2">
      <c r="A79" s="1" t="s">
        <v>56</v>
      </c>
      <c r="B79" s="4">
        <v>105.6</v>
      </c>
      <c r="C79" s="5" t="s">
        <v>12</v>
      </c>
      <c r="D79" s="6">
        <f t="shared" si="33"/>
        <v>0.1056</v>
      </c>
      <c r="F79" s="1" t="s">
        <v>39</v>
      </c>
      <c r="G79" s="1">
        <v>2000</v>
      </c>
      <c r="H79" s="1" t="s">
        <v>22</v>
      </c>
      <c r="I79" s="1">
        <f>_xlfn.XLOOKUP(F79,A2:A168,D2:D168)</f>
        <v>5.6149999999999999E-2</v>
      </c>
      <c r="J79" s="1">
        <f>I79*G79</f>
        <v>112.3</v>
      </c>
    </row>
    <row r="80" spans="1:10" x14ac:dyDescent="0.2">
      <c r="A80" s="1" t="s">
        <v>188</v>
      </c>
      <c r="B80" s="4">
        <v>133</v>
      </c>
      <c r="C80" s="5" t="s">
        <v>12</v>
      </c>
      <c r="D80" s="6">
        <f t="shared" si="33"/>
        <v>0.13300000000000001</v>
      </c>
      <c r="F80" s="1" t="s">
        <v>88</v>
      </c>
      <c r="G80" s="1">
        <v>900</v>
      </c>
      <c r="H80" s="1" t="s">
        <v>22</v>
      </c>
      <c r="I80" s="1">
        <f t="shared" ref="I80:I84" si="37">_xlfn.XLOOKUP(F80,A3:A169,D3:D169)</f>
        <v>0.35039999999999999</v>
      </c>
      <c r="J80" s="1">
        <f t="shared" ref="J80:J81" si="38">I80*G80</f>
        <v>315.36</v>
      </c>
    </row>
    <row r="81" spans="1:10" x14ac:dyDescent="0.2">
      <c r="A81" s="1" t="s">
        <v>189</v>
      </c>
      <c r="B81" s="4">
        <v>147.6</v>
      </c>
      <c r="C81" s="5" t="s">
        <v>12</v>
      </c>
      <c r="D81" s="6">
        <f t="shared" si="33"/>
        <v>0.14759999999999998</v>
      </c>
      <c r="F81" s="1" t="s">
        <v>26</v>
      </c>
      <c r="G81" s="1">
        <v>2240</v>
      </c>
      <c r="H81" s="1" t="s">
        <v>22</v>
      </c>
      <c r="I81" s="1">
        <f t="shared" si="37"/>
        <v>1.315E-2</v>
      </c>
      <c r="J81" s="1">
        <f t="shared" si="38"/>
        <v>29.456</v>
      </c>
    </row>
    <row r="82" spans="1:10" x14ac:dyDescent="0.2">
      <c r="A82" s="1" t="s">
        <v>190</v>
      </c>
      <c r="B82" s="4">
        <v>90</v>
      </c>
      <c r="C82" s="5" t="s">
        <v>12</v>
      </c>
      <c r="D82" s="6">
        <f t="shared" si="33"/>
        <v>0.09</v>
      </c>
      <c r="F82" s="1" t="s">
        <v>39</v>
      </c>
      <c r="G82" s="1">
        <v>8000</v>
      </c>
      <c r="H82" s="1" t="s">
        <v>22</v>
      </c>
      <c r="I82" s="1">
        <f t="shared" si="37"/>
        <v>5.6149999999999999E-2</v>
      </c>
      <c r="J82" s="1">
        <f>I82*G82</f>
        <v>449.2</v>
      </c>
    </row>
    <row r="83" spans="1:10" x14ac:dyDescent="0.2">
      <c r="A83" s="1" t="s">
        <v>191</v>
      </c>
      <c r="B83" s="4">
        <v>96</v>
      </c>
      <c r="C83" s="5" t="s">
        <v>12</v>
      </c>
      <c r="D83" s="6">
        <f t="shared" si="33"/>
        <v>9.6000000000000002E-2</v>
      </c>
      <c r="F83" s="2" t="s">
        <v>66</v>
      </c>
      <c r="G83" s="1">
        <v>5680</v>
      </c>
      <c r="H83" s="1" t="s">
        <v>22</v>
      </c>
      <c r="I83" s="1">
        <f t="shared" si="37"/>
        <v>0.35599999999999998</v>
      </c>
      <c r="J83" s="1">
        <f t="shared" ref="J83:J85" si="39">I83*G83</f>
        <v>2022.08</v>
      </c>
    </row>
    <row r="84" spans="1:10" x14ac:dyDescent="0.2">
      <c r="A84" s="1" t="s">
        <v>192</v>
      </c>
      <c r="B84" s="3">
        <v>126.4</v>
      </c>
      <c r="C84" s="5" t="s">
        <v>12</v>
      </c>
      <c r="D84" s="6">
        <f t="shared" si="33"/>
        <v>0.12640000000000001</v>
      </c>
      <c r="F84" s="1" t="s">
        <v>24</v>
      </c>
      <c r="G84" s="1">
        <v>4160</v>
      </c>
      <c r="H84" s="1" t="s">
        <v>22</v>
      </c>
      <c r="I84" s="1">
        <f t="shared" si="37"/>
        <v>7.6060000000000003E-2</v>
      </c>
      <c r="J84" s="1">
        <f t="shared" si="39"/>
        <v>316.40960000000001</v>
      </c>
    </row>
    <row r="85" spans="1:10" x14ac:dyDescent="0.2">
      <c r="A85" s="1" t="s">
        <v>193</v>
      </c>
      <c r="B85" s="3">
        <v>119</v>
      </c>
      <c r="C85" s="5" t="s">
        <v>12</v>
      </c>
      <c r="D85" s="6">
        <f t="shared" si="33"/>
        <v>0.11899999999999999</v>
      </c>
      <c r="F85" s="1" t="s">
        <v>82</v>
      </c>
      <c r="G85" s="1">
        <v>6000</v>
      </c>
      <c r="H85" s="1" t="s">
        <v>22</v>
      </c>
      <c r="I85" s="1">
        <v>0.28899999999999998</v>
      </c>
      <c r="J85" s="1">
        <f t="shared" si="39"/>
        <v>1733.9999999999998</v>
      </c>
    </row>
    <row r="86" spans="1:10" x14ac:dyDescent="0.2">
      <c r="A86" s="1" t="s">
        <v>194</v>
      </c>
      <c r="B86" s="3">
        <v>88</v>
      </c>
      <c r="C86" s="5" t="s">
        <v>12</v>
      </c>
      <c r="D86" s="6">
        <f t="shared" si="33"/>
        <v>8.7999999999999995E-2</v>
      </c>
      <c r="F86" s="1" t="s">
        <v>41</v>
      </c>
      <c r="G86" s="1">
        <f>SUM(G79:G85)</f>
        <v>28980</v>
      </c>
      <c r="H86" s="1" t="s">
        <v>22</v>
      </c>
      <c r="I86" s="1"/>
      <c r="J86" s="1">
        <f>SUM(J79:J85)</f>
        <v>4978.8055999999997</v>
      </c>
    </row>
    <row r="87" spans="1:10" x14ac:dyDescent="0.2">
      <c r="A87" s="1" t="s">
        <v>195</v>
      </c>
      <c r="B87" s="3">
        <v>73</v>
      </c>
      <c r="C87" s="5" t="s">
        <v>12</v>
      </c>
      <c r="D87" s="6">
        <f t="shared" si="33"/>
        <v>7.2999999999999995E-2</v>
      </c>
      <c r="F87" s="1" t="s">
        <v>43</v>
      </c>
      <c r="G87" s="1"/>
      <c r="H87" s="1" t="s">
        <v>22</v>
      </c>
      <c r="I87" s="1"/>
      <c r="J87" s="1">
        <f>J86/G86</f>
        <v>0.17180143547273982</v>
      </c>
    </row>
    <row r="88" spans="1:10" x14ac:dyDescent="0.2">
      <c r="A88" s="1" t="s">
        <v>92</v>
      </c>
      <c r="B88" s="3">
        <v>138</v>
      </c>
      <c r="C88" s="5" t="s">
        <v>12</v>
      </c>
      <c r="D88" s="6">
        <f t="shared" si="33"/>
        <v>0.13800000000000001</v>
      </c>
    </row>
    <row r="89" spans="1:10" x14ac:dyDescent="0.2">
      <c r="A89" s="1" t="s">
        <v>196</v>
      </c>
      <c r="B89" s="3">
        <v>77</v>
      </c>
      <c r="C89" s="5" t="s">
        <v>12</v>
      </c>
      <c r="D89" s="6">
        <f t="shared" si="33"/>
        <v>7.6999999999999999E-2</v>
      </c>
      <c r="F89" s="106" t="s">
        <v>250</v>
      </c>
      <c r="G89" s="106"/>
      <c r="H89" s="106"/>
      <c r="I89" s="106"/>
      <c r="J89" s="106"/>
    </row>
    <row r="90" spans="1:10" x14ac:dyDescent="0.2">
      <c r="A90" s="1" t="s">
        <v>197</v>
      </c>
      <c r="B90" s="3">
        <v>109.2</v>
      </c>
      <c r="C90" s="5" t="s">
        <v>12</v>
      </c>
      <c r="D90" s="6">
        <f t="shared" si="33"/>
        <v>0.10920000000000001</v>
      </c>
      <c r="F90" s="1" t="s">
        <v>39</v>
      </c>
      <c r="G90" s="1">
        <v>2000</v>
      </c>
      <c r="H90" s="1" t="s">
        <v>22</v>
      </c>
      <c r="I90" s="1">
        <f>_xlfn.XLOOKUP(F90,A2:A179,D2:D179)</f>
        <v>5.6149999999999999E-2</v>
      </c>
      <c r="J90" s="1">
        <f>I90*G90</f>
        <v>112.3</v>
      </c>
    </row>
    <row r="91" spans="1:10" x14ac:dyDescent="0.2">
      <c r="A91" s="1" t="s">
        <v>198</v>
      </c>
      <c r="B91" s="3">
        <v>95</v>
      </c>
      <c r="C91" s="5" t="s">
        <v>12</v>
      </c>
      <c r="D91" s="6">
        <f t="shared" si="33"/>
        <v>9.5000000000000001E-2</v>
      </c>
      <c r="F91" s="1" t="s">
        <v>88</v>
      </c>
      <c r="G91" s="1">
        <v>900</v>
      </c>
      <c r="H91" s="1" t="s">
        <v>22</v>
      </c>
      <c r="I91" s="1">
        <f t="shared" ref="I91:I97" si="40">_xlfn.XLOOKUP(F91,A3:A180,D3:D180)</f>
        <v>0.35039999999999999</v>
      </c>
      <c r="J91" s="1">
        <f t="shared" ref="J91:J97" si="41">I91*G91</f>
        <v>315.36</v>
      </c>
    </row>
    <row r="92" spans="1:10" x14ac:dyDescent="0.2">
      <c r="A92" s="1" t="s">
        <v>84</v>
      </c>
      <c r="B92" s="3">
        <v>173</v>
      </c>
      <c r="C92" s="5" t="s">
        <v>12</v>
      </c>
      <c r="D92" s="6">
        <f t="shared" si="33"/>
        <v>0.17299999999999999</v>
      </c>
      <c r="F92" s="1" t="s">
        <v>26</v>
      </c>
      <c r="G92" s="1">
        <v>2260</v>
      </c>
      <c r="H92" s="1" t="s">
        <v>22</v>
      </c>
      <c r="I92" s="1">
        <f t="shared" si="40"/>
        <v>1.315E-2</v>
      </c>
      <c r="J92" s="1">
        <f t="shared" si="41"/>
        <v>29.719000000000001</v>
      </c>
    </row>
    <row r="93" spans="1:10" x14ac:dyDescent="0.2">
      <c r="A93" s="1" t="s">
        <v>199</v>
      </c>
      <c r="B93" s="3">
        <v>198</v>
      </c>
      <c r="C93" s="5" t="s">
        <v>12</v>
      </c>
      <c r="D93" s="6">
        <f t="shared" si="33"/>
        <v>0.19800000000000001</v>
      </c>
      <c r="F93" s="1" t="s">
        <v>39</v>
      </c>
      <c r="G93" s="1">
        <v>8060</v>
      </c>
      <c r="H93" s="1" t="s">
        <v>22</v>
      </c>
      <c r="I93" s="1">
        <f t="shared" si="40"/>
        <v>5.6149999999999999E-2</v>
      </c>
      <c r="J93" s="1">
        <f t="shared" si="41"/>
        <v>452.56899999999996</v>
      </c>
    </row>
    <row r="94" spans="1:10" x14ac:dyDescent="0.2">
      <c r="A94" s="13" t="s">
        <v>87</v>
      </c>
      <c r="B94" s="3">
        <v>249</v>
      </c>
      <c r="C94" s="5" t="s">
        <v>12</v>
      </c>
      <c r="D94" s="6">
        <f t="shared" si="33"/>
        <v>0.249</v>
      </c>
      <c r="F94" s="2" t="s">
        <v>111</v>
      </c>
      <c r="G94" s="1">
        <v>5200</v>
      </c>
      <c r="H94" s="1" t="s">
        <v>22</v>
      </c>
      <c r="I94" s="1">
        <f t="shared" si="40"/>
        <v>0.32980000000000004</v>
      </c>
      <c r="J94" s="1">
        <f t="shared" si="41"/>
        <v>1714.9600000000003</v>
      </c>
    </row>
    <row r="95" spans="1:10" x14ac:dyDescent="0.2">
      <c r="A95" s="1" t="s">
        <v>59</v>
      </c>
      <c r="B95" s="3">
        <v>43.17</v>
      </c>
      <c r="C95" s="5" t="s">
        <v>12</v>
      </c>
      <c r="D95" s="6">
        <f t="shared" si="33"/>
        <v>4.317E-2</v>
      </c>
      <c r="F95" s="2" t="s">
        <v>30</v>
      </c>
      <c r="G95" s="1">
        <v>40</v>
      </c>
      <c r="H95" s="1" t="s">
        <v>22</v>
      </c>
      <c r="I95" s="1">
        <f t="shared" si="40"/>
        <v>5.2500000000000003E-3</v>
      </c>
      <c r="J95" s="1">
        <f t="shared" si="41"/>
        <v>0.21000000000000002</v>
      </c>
    </row>
    <row r="96" spans="1:10" x14ac:dyDescent="0.2">
      <c r="A96" s="1" t="s">
        <v>25</v>
      </c>
      <c r="B96" s="3">
        <v>18.84</v>
      </c>
      <c r="C96" s="5" t="s">
        <v>12</v>
      </c>
      <c r="D96" s="6">
        <f t="shared" si="33"/>
        <v>1.8839999999999999E-2</v>
      </c>
      <c r="F96" s="1" t="s">
        <v>24</v>
      </c>
      <c r="G96" s="1">
        <v>4080</v>
      </c>
      <c r="H96" s="1" t="s">
        <v>22</v>
      </c>
      <c r="I96" s="1">
        <f t="shared" si="40"/>
        <v>7.6060000000000003E-2</v>
      </c>
      <c r="J96" s="1">
        <f t="shared" si="41"/>
        <v>310.32480000000004</v>
      </c>
    </row>
    <row r="97" spans="1:10" x14ac:dyDescent="0.2">
      <c r="A97" s="1" t="s">
        <v>39</v>
      </c>
      <c r="B97" s="3">
        <v>56.15</v>
      </c>
      <c r="C97" s="5" t="s">
        <v>12</v>
      </c>
      <c r="D97" s="6">
        <f t="shared" si="33"/>
        <v>5.6149999999999999E-2</v>
      </c>
      <c r="F97" s="2" t="s">
        <v>36</v>
      </c>
      <c r="G97" s="1">
        <v>2000</v>
      </c>
      <c r="H97" s="1" t="s">
        <v>22</v>
      </c>
      <c r="I97" s="1">
        <f t="shared" si="40"/>
        <v>0.32900000000000001</v>
      </c>
      <c r="J97" s="1">
        <f t="shared" si="41"/>
        <v>658</v>
      </c>
    </row>
    <row r="98" spans="1:10" x14ac:dyDescent="0.2">
      <c r="A98" s="1" t="s">
        <v>24</v>
      </c>
      <c r="B98" s="3">
        <v>76.06</v>
      </c>
      <c r="C98" s="5" t="s">
        <v>12</v>
      </c>
      <c r="D98" s="6">
        <f t="shared" si="33"/>
        <v>7.6060000000000003E-2</v>
      </c>
      <c r="F98" s="1" t="s">
        <v>41</v>
      </c>
      <c r="G98" s="1">
        <f>SUM(G90:G97)</f>
        <v>24540</v>
      </c>
      <c r="H98" s="1" t="s">
        <v>22</v>
      </c>
      <c r="I98" s="1"/>
      <c r="J98" s="1">
        <f>SUM(J90:J97)</f>
        <v>3593.4428000000003</v>
      </c>
    </row>
    <row r="99" spans="1:10" x14ac:dyDescent="0.2">
      <c r="A99" s="1" t="s">
        <v>200</v>
      </c>
      <c r="B99" s="3">
        <v>43.5</v>
      </c>
      <c r="C99" s="5" t="s">
        <v>12</v>
      </c>
      <c r="D99" s="6">
        <f t="shared" si="33"/>
        <v>4.3499999999999997E-2</v>
      </c>
      <c r="F99" s="1" t="s">
        <v>43</v>
      </c>
      <c r="G99" s="1"/>
      <c r="H99" s="1" t="s">
        <v>22</v>
      </c>
      <c r="I99" s="1"/>
      <c r="J99" s="1">
        <f>J98/G98</f>
        <v>0.1464320619396903</v>
      </c>
    </row>
    <row r="100" spans="1:10" x14ac:dyDescent="0.2">
      <c r="A100" s="1" t="s">
        <v>201</v>
      </c>
      <c r="B100" s="3">
        <v>123.7</v>
      </c>
      <c r="C100" s="5" t="s">
        <v>12</v>
      </c>
      <c r="D100" s="6">
        <f t="shared" si="33"/>
        <v>0.1237</v>
      </c>
    </row>
    <row r="101" spans="1:10" x14ac:dyDescent="0.2">
      <c r="A101" s="1" t="s">
        <v>28</v>
      </c>
      <c r="B101" s="3">
        <v>71</v>
      </c>
      <c r="C101" s="5" t="s">
        <v>12</v>
      </c>
      <c r="D101" s="6">
        <f t="shared" si="33"/>
        <v>7.0999999999999994E-2</v>
      </c>
      <c r="F101" s="106" t="s">
        <v>251</v>
      </c>
      <c r="G101" s="106"/>
      <c r="H101" s="106"/>
      <c r="I101" s="106"/>
      <c r="J101" s="106"/>
    </row>
    <row r="102" spans="1:10" x14ac:dyDescent="0.2">
      <c r="A102" s="8" t="s">
        <v>68</v>
      </c>
      <c r="B102" s="14">
        <v>45</v>
      </c>
      <c r="C102" s="15" t="s">
        <v>12</v>
      </c>
      <c r="D102" s="16">
        <f t="shared" si="33"/>
        <v>4.4999999999999998E-2</v>
      </c>
      <c r="F102" s="1" t="s">
        <v>39</v>
      </c>
      <c r="G102" s="1">
        <v>2000</v>
      </c>
      <c r="H102" s="1" t="s">
        <v>22</v>
      </c>
      <c r="I102" s="1">
        <f>_xlfn.XLOOKUP(F102,A2:A191,D2:D191)</f>
        <v>5.6149999999999999E-2</v>
      </c>
      <c r="J102" s="1">
        <f>I102*G102</f>
        <v>112.3</v>
      </c>
    </row>
    <row r="103" spans="1:10" x14ac:dyDescent="0.2">
      <c r="A103" s="8" t="s">
        <v>34</v>
      </c>
      <c r="B103" s="14">
        <v>188</v>
      </c>
      <c r="C103" s="8" t="s">
        <v>12</v>
      </c>
      <c r="D103" s="14">
        <f t="shared" si="33"/>
        <v>0.188</v>
      </c>
      <c r="F103" s="1" t="s">
        <v>88</v>
      </c>
      <c r="G103" s="1">
        <v>900</v>
      </c>
      <c r="H103" s="1" t="s">
        <v>22</v>
      </c>
      <c r="I103" s="1">
        <f t="shared" ref="I103:I107" si="42">_xlfn.XLOOKUP(F103,A3:A192,D3:D192)</f>
        <v>0.35039999999999999</v>
      </c>
      <c r="J103" s="1">
        <f t="shared" ref="J103:J104" si="43">I103*G103</f>
        <v>315.36</v>
      </c>
    </row>
    <row r="104" spans="1:10" x14ac:dyDescent="0.2">
      <c r="A104" s="8" t="s">
        <v>202</v>
      </c>
      <c r="B104" s="8">
        <v>139.30000000000001</v>
      </c>
      <c r="C104" s="8" t="s">
        <v>12</v>
      </c>
      <c r="D104" s="14">
        <f t="shared" si="33"/>
        <v>0.13930000000000001</v>
      </c>
      <c r="F104" s="1" t="s">
        <v>26</v>
      </c>
      <c r="G104" s="1">
        <v>2240</v>
      </c>
      <c r="H104" s="1" t="s">
        <v>22</v>
      </c>
      <c r="I104" s="1">
        <f t="shared" si="42"/>
        <v>1.315E-2</v>
      </c>
      <c r="J104" s="1">
        <f t="shared" si="43"/>
        <v>29.456</v>
      </c>
    </row>
    <row r="105" spans="1:10" x14ac:dyDescent="0.2">
      <c r="A105" s="8" t="s">
        <v>23</v>
      </c>
      <c r="B105" s="8">
        <v>0</v>
      </c>
      <c r="C105" s="8" t="s">
        <v>12</v>
      </c>
      <c r="D105" s="8">
        <f>B105/1000</f>
        <v>0</v>
      </c>
      <c r="F105" s="1" t="s">
        <v>189</v>
      </c>
      <c r="G105" s="1">
        <v>8000</v>
      </c>
      <c r="H105" s="1" t="s">
        <v>22</v>
      </c>
      <c r="I105" s="1">
        <f t="shared" si="42"/>
        <v>0.14759999999999998</v>
      </c>
      <c r="J105" s="1">
        <f>I105*G105</f>
        <v>1180.8</v>
      </c>
    </row>
    <row r="106" spans="1:10" x14ac:dyDescent="0.2">
      <c r="A106" s="1" t="s">
        <v>87</v>
      </c>
      <c r="B106" s="1">
        <v>249</v>
      </c>
      <c r="C106" s="1" t="s">
        <v>12</v>
      </c>
      <c r="D106" s="1">
        <f>B106/1000</f>
        <v>0.249</v>
      </c>
      <c r="F106" s="2" t="s">
        <v>111</v>
      </c>
      <c r="G106" s="1">
        <v>5680</v>
      </c>
      <c r="H106" s="1" t="s">
        <v>22</v>
      </c>
      <c r="I106" s="1">
        <f t="shared" si="42"/>
        <v>0.32980000000000004</v>
      </c>
      <c r="J106" s="1">
        <f t="shared" ref="J106:J107" si="44">I106*G106</f>
        <v>1873.2640000000001</v>
      </c>
    </row>
    <row r="107" spans="1:10" x14ac:dyDescent="0.2">
      <c r="A107" s="1" t="s">
        <v>132</v>
      </c>
      <c r="B107" s="1"/>
      <c r="C107" s="1"/>
      <c r="D107" s="1">
        <f t="shared" ref="D107:D111" si="45">B107/1000</f>
        <v>0</v>
      </c>
      <c r="F107" s="1" t="s">
        <v>24</v>
      </c>
      <c r="G107" s="1">
        <v>4160</v>
      </c>
      <c r="H107" s="1" t="s">
        <v>22</v>
      </c>
      <c r="I107" s="1">
        <f t="shared" si="42"/>
        <v>7.6060000000000003E-2</v>
      </c>
      <c r="J107" s="1">
        <f t="shared" si="44"/>
        <v>316.40960000000001</v>
      </c>
    </row>
    <row r="108" spans="1:10" x14ac:dyDescent="0.2">
      <c r="A108" s="1" t="s">
        <v>53</v>
      </c>
      <c r="B108" s="1">
        <v>512</v>
      </c>
      <c r="C108" s="1" t="s">
        <v>12</v>
      </c>
      <c r="D108" s="1">
        <f t="shared" si="45"/>
        <v>0.51200000000000001</v>
      </c>
      <c r="F108" s="1" t="s">
        <v>41</v>
      </c>
      <c r="G108" s="1">
        <f>SUM(G102:G107)</f>
        <v>22980</v>
      </c>
      <c r="H108" s="1" t="s">
        <v>22</v>
      </c>
      <c r="I108" s="1"/>
      <c r="J108" s="1">
        <f>SUM(J102:J107)</f>
        <v>3827.5896000000002</v>
      </c>
    </row>
    <row r="109" spans="1:10" x14ac:dyDescent="0.2">
      <c r="A109" s="8" t="s">
        <v>32</v>
      </c>
      <c r="B109" s="8">
        <v>612</v>
      </c>
      <c r="C109" s="8" t="s">
        <v>12</v>
      </c>
      <c r="D109" s="8">
        <f t="shared" si="45"/>
        <v>0.61199999999999999</v>
      </c>
      <c r="F109" s="1" t="s">
        <v>43</v>
      </c>
      <c r="G109" s="1"/>
      <c r="H109" s="1" t="s">
        <v>22</v>
      </c>
      <c r="I109" s="1"/>
      <c r="J109" s="1">
        <f>J108/G108</f>
        <v>0.16656177545691908</v>
      </c>
    </row>
    <row r="110" spans="1:10" x14ac:dyDescent="0.2">
      <c r="A110" s="1" t="s">
        <v>203</v>
      </c>
      <c r="B110" s="1">
        <v>612</v>
      </c>
      <c r="C110" s="1" t="s">
        <v>12</v>
      </c>
      <c r="D110" s="1">
        <f t="shared" si="45"/>
        <v>0.61199999999999999</v>
      </c>
    </row>
    <row r="111" spans="1:10" x14ac:dyDescent="0.2">
      <c r="A111" s="8" t="s">
        <v>37</v>
      </c>
      <c r="B111" s="8">
        <v>20.149999999999999</v>
      </c>
      <c r="C111" s="8" t="s">
        <v>61</v>
      </c>
      <c r="D111" s="8">
        <f t="shared" si="45"/>
        <v>2.0149999999999998E-2</v>
      </c>
      <c r="F111" s="106" t="s">
        <v>252</v>
      </c>
      <c r="G111" s="106"/>
      <c r="H111" s="106"/>
      <c r="I111" s="106"/>
      <c r="J111" s="106"/>
    </row>
    <row r="112" spans="1:10" x14ac:dyDescent="0.2">
      <c r="A112" s="8" t="s">
        <v>72</v>
      </c>
      <c r="B112" s="8">
        <v>14.6</v>
      </c>
      <c r="C112" s="8" t="s">
        <v>73</v>
      </c>
      <c r="D112" s="8">
        <f>B112*1</f>
        <v>14.6</v>
      </c>
      <c r="F112" s="1" t="s">
        <v>253</v>
      </c>
      <c r="G112" s="1">
        <v>6.4</v>
      </c>
      <c r="H112" s="1" t="s">
        <v>22</v>
      </c>
      <c r="I112" s="1">
        <v>5.3740000000000003E-2</v>
      </c>
      <c r="J112" s="1">
        <f>I112*G112</f>
        <v>0.34393600000000002</v>
      </c>
    </row>
    <row r="113" spans="1:10" x14ac:dyDescent="0.2">
      <c r="A113" s="1" t="s">
        <v>254</v>
      </c>
      <c r="B113" s="1">
        <v>227.82</v>
      </c>
      <c r="C113" s="1" t="s">
        <v>12</v>
      </c>
      <c r="D113" s="1">
        <f>B113/1000</f>
        <v>0.22781999999999999</v>
      </c>
      <c r="F113" s="1" t="s">
        <v>255</v>
      </c>
      <c r="G113" s="1">
        <v>6.2</v>
      </c>
      <c r="H113" s="1" t="s">
        <v>22</v>
      </c>
      <c r="I113" s="1">
        <v>0.14749000000000001</v>
      </c>
      <c r="J113" s="1">
        <f>I113*G113</f>
        <v>0.91443800000000008</v>
      </c>
    </row>
    <row r="114" spans="1:10" x14ac:dyDescent="0.2">
      <c r="A114" s="1" t="s">
        <v>127</v>
      </c>
      <c r="B114" s="1">
        <v>375</v>
      </c>
      <c r="C114" s="1" t="s">
        <v>494</v>
      </c>
      <c r="D114" s="1">
        <f>B114/60</f>
        <v>6.25</v>
      </c>
      <c r="F114" s="1" t="s">
        <v>41</v>
      </c>
      <c r="G114" s="1"/>
      <c r="H114" s="1"/>
      <c r="I114" s="1"/>
      <c r="J114" s="21">
        <f>SUM(J112:J113)</f>
        <v>1.2583740000000001</v>
      </c>
    </row>
    <row r="116" spans="1:10" x14ac:dyDescent="0.2">
      <c r="F116" s="106" t="s">
        <v>256</v>
      </c>
      <c r="G116" s="106"/>
      <c r="H116" s="106"/>
      <c r="I116" s="106"/>
      <c r="J116" s="106"/>
    </row>
    <row r="117" spans="1:10" x14ac:dyDescent="0.2">
      <c r="F117" s="1" t="s">
        <v>253</v>
      </c>
      <c r="G117" s="1">
        <v>6.4</v>
      </c>
      <c r="H117" s="1" t="s">
        <v>22</v>
      </c>
      <c r="I117" s="1">
        <v>5.3740000000000003E-2</v>
      </c>
      <c r="J117" s="1">
        <f>I117*G117</f>
        <v>0.34393600000000002</v>
      </c>
    </row>
    <row r="118" spans="1:10" x14ac:dyDescent="0.2">
      <c r="F118" s="1" t="s">
        <v>257</v>
      </c>
      <c r="G118" s="1">
        <v>6.2</v>
      </c>
      <c r="H118" s="1" t="s">
        <v>22</v>
      </c>
      <c r="I118" s="1">
        <v>0.15576999999999999</v>
      </c>
      <c r="J118" s="1">
        <f>I118*G118</f>
        <v>0.96577400000000002</v>
      </c>
    </row>
    <row r="119" spans="1:10" x14ac:dyDescent="0.2">
      <c r="F119" s="1" t="s">
        <v>41</v>
      </c>
      <c r="G119" s="1"/>
      <c r="H119" s="1"/>
      <c r="I119" s="1"/>
      <c r="J119" s="21">
        <f>SUM(J117:J118)</f>
        <v>1.3097099999999999</v>
      </c>
    </row>
    <row r="121" spans="1:10" x14ac:dyDescent="0.2">
      <c r="F121" s="106" t="s">
        <v>258</v>
      </c>
      <c r="G121" s="106"/>
      <c r="H121" s="106"/>
      <c r="I121" s="106"/>
      <c r="J121" s="106"/>
    </row>
    <row r="122" spans="1:10" x14ac:dyDescent="0.2">
      <c r="F122" s="1" t="s">
        <v>253</v>
      </c>
      <c r="G122" s="1">
        <v>6.4</v>
      </c>
      <c r="H122" s="1" t="s">
        <v>22</v>
      </c>
      <c r="I122" s="1">
        <v>5.3740000000000003E-2</v>
      </c>
      <c r="J122" s="1">
        <f>I122*G122</f>
        <v>0.34393600000000002</v>
      </c>
    </row>
    <row r="123" spans="1:10" x14ac:dyDescent="0.2">
      <c r="F123" s="1" t="s">
        <v>259</v>
      </c>
      <c r="G123" s="1">
        <v>6.2</v>
      </c>
      <c r="H123" s="1" t="s">
        <v>22</v>
      </c>
      <c r="I123" s="1">
        <v>0.159</v>
      </c>
      <c r="J123" s="1">
        <f>I123*G123</f>
        <v>0.98580000000000001</v>
      </c>
    </row>
    <row r="124" spans="1:10" x14ac:dyDescent="0.2">
      <c r="F124" s="1" t="s">
        <v>41</v>
      </c>
      <c r="G124" s="1"/>
      <c r="H124" s="1"/>
      <c r="I124" s="1"/>
      <c r="J124" s="21">
        <f>SUM(J122:J123)</f>
        <v>1.329736</v>
      </c>
    </row>
    <row r="126" spans="1:10" x14ac:dyDescent="0.2">
      <c r="F126" s="106" t="s">
        <v>260</v>
      </c>
      <c r="G126" s="106"/>
      <c r="H126" s="106"/>
      <c r="I126" s="106"/>
      <c r="J126" s="106"/>
    </row>
    <row r="127" spans="1:10" x14ac:dyDescent="0.2">
      <c r="F127" s="1" t="s">
        <v>253</v>
      </c>
      <c r="G127" s="1">
        <v>6.4</v>
      </c>
      <c r="H127" s="1" t="s">
        <v>22</v>
      </c>
      <c r="I127" s="1">
        <v>5.3740000000000003E-2</v>
      </c>
      <c r="J127" s="1">
        <f>I127*G127</f>
        <v>0.34393600000000002</v>
      </c>
    </row>
    <row r="128" spans="1:10" x14ac:dyDescent="0.2">
      <c r="F128" s="1" t="s">
        <v>261</v>
      </c>
      <c r="G128" s="1">
        <v>6.2</v>
      </c>
      <c r="H128" s="1" t="s">
        <v>22</v>
      </c>
      <c r="I128" s="1">
        <v>0.18978999999999999</v>
      </c>
      <c r="J128" s="1">
        <f>I128*G128</f>
        <v>1.176698</v>
      </c>
    </row>
    <row r="129" spans="6:10" x14ac:dyDescent="0.2">
      <c r="F129" s="1" t="s">
        <v>41</v>
      </c>
      <c r="G129" s="1"/>
      <c r="H129" s="1"/>
      <c r="I129" s="1"/>
      <c r="J129" s="21">
        <f>SUM(J127:J128)</f>
        <v>1.520634</v>
      </c>
    </row>
    <row r="131" spans="6:10" x14ac:dyDescent="0.2">
      <c r="F131" s="106" t="s">
        <v>262</v>
      </c>
      <c r="G131" s="106"/>
      <c r="H131" s="106"/>
      <c r="I131" s="106"/>
      <c r="J131" s="106"/>
    </row>
    <row r="132" spans="6:10" x14ac:dyDescent="0.2">
      <c r="F132" s="1" t="s">
        <v>253</v>
      </c>
      <c r="G132" s="1">
        <v>6.4</v>
      </c>
      <c r="H132" s="1" t="s">
        <v>22</v>
      </c>
      <c r="I132" s="1">
        <v>5.3740000000000003E-2</v>
      </c>
      <c r="J132" s="1">
        <f>I132*G132</f>
        <v>0.34393600000000002</v>
      </c>
    </row>
    <row r="133" spans="6:10" x14ac:dyDescent="0.2">
      <c r="F133" s="1" t="s">
        <v>263</v>
      </c>
      <c r="G133" s="1">
        <v>6.2</v>
      </c>
      <c r="H133" s="1" t="s">
        <v>22</v>
      </c>
      <c r="I133" s="1">
        <v>0.13167999999999999</v>
      </c>
      <c r="J133" s="1">
        <f>I133*G133</f>
        <v>0.81641599999999992</v>
      </c>
    </row>
    <row r="134" spans="6:10" x14ac:dyDescent="0.2">
      <c r="F134" s="1" t="s">
        <v>41</v>
      </c>
      <c r="G134" s="1"/>
      <c r="H134" s="1"/>
      <c r="I134" s="1"/>
      <c r="J134" s="21">
        <f>SUM(J132:J133)</f>
        <v>1.1603520000000001</v>
      </c>
    </row>
    <row r="136" spans="6:10" x14ac:dyDescent="0.2">
      <c r="F136" s="106" t="s">
        <v>264</v>
      </c>
      <c r="G136" s="106"/>
      <c r="H136" s="106"/>
      <c r="I136" s="106"/>
      <c r="J136" s="106"/>
    </row>
    <row r="137" spans="6:10" x14ac:dyDescent="0.2">
      <c r="F137" s="1" t="s">
        <v>253</v>
      </c>
      <c r="G137" s="1">
        <v>6.4</v>
      </c>
      <c r="H137" s="1" t="s">
        <v>22</v>
      </c>
      <c r="I137" s="1">
        <v>5.3740000000000003E-2</v>
      </c>
      <c r="J137" s="1">
        <f>I137*G137</f>
        <v>0.34393600000000002</v>
      </c>
    </row>
    <row r="138" spans="6:10" x14ac:dyDescent="0.2">
      <c r="F138" s="1" t="s">
        <v>265</v>
      </c>
      <c r="G138" s="1">
        <v>6.2</v>
      </c>
      <c r="H138" s="1" t="s">
        <v>22</v>
      </c>
      <c r="I138" s="1">
        <v>0.17180000000000001</v>
      </c>
      <c r="J138" s="1">
        <f>I138*G138</f>
        <v>1.0651600000000001</v>
      </c>
    </row>
    <row r="139" spans="6:10" x14ac:dyDescent="0.2">
      <c r="F139" s="1" t="s">
        <v>41</v>
      </c>
      <c r="G139" s="1"/>
      <c r="H139" s="1"/>
      <c r="I139" s="1"/>
      <c r="J139" s="21">
        <f>SUM(J137:J138)</f>
        <v>1.4090960000000001</v>
      </c>
    </row>
    <row r="141" spans="6:10" x14ac:dyDescent="0.2">
      <c r="F141" s="106" t="s">
        <v>266</v>
      </c>
      <c r="G141" s="106"/>
      <c r="H141" s="106"/>
      <c r="I141" s="106"/>
      <c r="J141" s="106"/>
    </row>
    <row r="142" spans="6:10" x14ac:dyDescent="0.2">
      <c r="F142" s="1" t="s">
        <v>253</v>
      </c>
      <c r="G142" s="1">
        <v>6.4</v>
      </c>
      <c r="H142" s="1" t="s">
        <v>22</v>
      </c>
      <c r="I142" s="1">
        <v>5.3740000000000003E-2</v>
      </c>
      <c r="J142" s="1">
        <f>I142*G142</f>
        <v>0.34393600000000002</v>
      </c>
    </row>
    <row r="143" spans="6:10" x14ac:dyDescent="0.2">
      <c r="F143" s="1" t="s">
        <v>267</v>
      </c>
      <c r="G143" s="1">
        <v>6.2</v>
      </c>
      <c r="H143" s="1" t="s">
        <v>22</v>
      </c>
      <c r="I143" s="1">
        <v>0.14643</v>
      </c>
      <c r="J143" s="1">
        <f>I143*G143</f>
        <v>0.90786600000000006</v>
      </c>
    </row>
    <row r="144" spans="6:10" x14ac:dyDescent="0.2">
      <c r="F144" s="1" t="s">
        <v>41</v>
      </c>
      <c r="G144" s="1"/>
      <c r="H144" s="1"/>
      <c r="I144" s="1"/>
      <c r="J144" s="21">
        <f>SUM(J142:J143)</f>
        <v>1.2518020000000001</v>
      </c>
    </row>
    <row r="146" spans="6:10" x14ac:dyDescent="0.2">
      <c r="F146" s="106" t="s">
        <v>268</v>
      </c>
      <c r="G146" s="106"/>
      <c r="H146" s="106"/>
      <c r="I146" s="106"/>
      <c r="J146" s="106"/>
    </row>
    <row r="147" spans="6:10" x14ac:dyDescent="0.2">
      <c r="F147" s="1" t="s">
        <v>253</v>
      </c>
      <c r="G147" s="1">
        <v>6.4</v>
      </c>
      <c r="H147" s="1" t="s">
        <v>22</v>
      </c>
      <c r="I147" s="1">
        <v>5.3740000000000003E-2</v>
      </c>
      <c r="J147" s="1">
        <f>I147*G147</f>
        <v>0.34393600000000002</v>
      </c>
    </row>
    <row r="148" spans="6:10" x14ac:dyDescent="0.2">
      <c r="F148" s="1" t="s">
        <v>251</v>
      </c>
      <c r="G148" s="1">
        <v>6.2</v>
      </c>
      <c r="H148" s="1" t="s">
        <v>22</v>
      </c>
      <c r="I148" s="1">
        <v>0.16650000000000001</v>
      </c>
      <c r="J148" s="1">
        <f>I148*G148</f>
        <v>1.0323</v>
      </c>
    </row>
    <row r="149" spans="6:10" x14ac:dyDescent="0.2">
      <c r="F149" s="1" t="s">
        <v>41</v>
      </c>
      <c r="G149" s="1"/>
      <c r="H149" s="1"/>
      <c r="I149" s="1"/>
      <c r="J149" s="21">
        <f>SUM(J147:J148)</f>
        <v>1.376236</v>
      </c>
    </row>
    <row r="151" spans="6:10" x14ac:dyDescent="0.2">
      <c r="F151" s="106" t="s">
        <v>127</v>
      </c>
      <c r="G151" s="106"/>
      <c r="H151" s="106"/>
      <c r="I151" s="106"/>
      <c r="J151" s="106"/>
    </row>
    <row r="152" spans="6:10" x14ac:dyDescent="0.2">
      <c r="F152" s="1" t="s">
        <v>269</v>
      </c>
      <c r="G152" s="1">
        <v>35</v>
      </c>
      <c r="H152" s="1" t="s">
        <v>129</v>
      </c>
      <c r="I152" s="55" t="s">
        <v>672</v>
      </c>
      <c r="J152" s="56"/>
    </row>
    <row r="153" spans="6:10" x14ac:dyDescent="0.2">
      <c r="F153" s="1" t="s">
        <v>271</v>
      </c>
      <c r="G153" s="1">
        <v>240</v>
      </c>
      <c r="H153" s="1" t="s">
        <v>129</v>
      </c>
      <c r="I153" s="55" t="s">
        <v>672</v>
      </c>
      <c r="J153" s="56"/>
    </row>
    <row r="154" spans="6:10" x14ac:dyDescent="0.2">
      <c r="F154" s="1" t="s">
        <v>673</v>
      </c>
      <c r="G154" s="1">
        <v>60</v>
      </c>
      <c r="H154" s="1" t="s">
        <v>129</v>
      </c>
      <c r="I154" s="55" t="s">
        <v>672</v>
      </c>
      <c r="J154" s="56"/>
    </row>
    <row r="155" spans="6:10" x14ac:dyDescent="0.2">
      <c r="F155" s="1" t="s">
        <v>272</v>
      </c>
      <c r="G155" s="1">
        <v>134</v>
      </c>
      <c r="H155" s="1" t="s">
        <v>129</v>
      </c>
      <c r="I155" s="55" t="s">
        <v>672</v>
      </c>
      <c r="J155" s="56"/>
    </row>
    <row r="156" spans="6:10" x14ac:dyDescent="0.2">
      <c r="F156" s="1" t="s">
        <v>273</v>
      </c>
      <c r="G156" s="1">
        <v>590</v>
      </c>
      <c r="H156" s="1" t="s">
        <v>129</v>
      </c>
      <c r="I156" s="55" t="s">
        <v>672</v>
      </c>
      <c r="J156" s="56"/>
    </row>
    <row r="157" spans="6:10" x14ac:dyDescent="0.2">
      <c r="F157" s="1" t="s">
        <v>275</v>
      </c>
      <c r="G157" s="1">
        <v>1440</v>
      </c>
      <c r="H157" s="1" t="s">
        <v>129</v>
      </c>
      <c r="I157" s="55" t="s">
        <v>677</v>
      </c>
      <c r="J157" s="56"/>
    </row>
    <row r="158" spans="6:10" x14ac:dyDescent="0.2">
      <c r="F158" s="1" t="s">
        <v>276</v>
      </c>
      <c r="G158" s="1">
        <v>300</v>
      </c>
      <c r="H158" s="1" t="s">
        <v>129</v>
      </c>
      <c r="I158" s="55" t="s">
        <v>277</v>
      </c>
      <c r="J158" s="56"/>
    </row>
    <row r="159" spans="6:10" x14ac:dyDescent="0.2">
      <c r="F159" s="1" t="s">
        <v>419</v>
      </c>
      <c r="G159" s="1">
        <v>5</v>
      </c>
      <c r="H159" s="1" t="s">
        <v>129</v>
      </c>
      <c r="I159" s="31"/>
      <c r="J159" s="32"/>
    </row>
    <row r="160" spans="6:10" x14ac:dyDescent="0.2">
      <c r="F160" s="1" t="s">
        <v>676</v>
      </c>
      <c r="G160" s="1">
        <v>90</v>
      </c>
      <c r="H160" s="1" t="s">
        <v>129</v>
      </c>
      <c r="I160" s="55" t="s">
        <v>672</v>
      </c>
      <c r="J160" s="56"/>
    </row>
    <row r="161" spans="6:10" x14ac:dyDescent="0.2">
      <c r="F161" s="1" t="s">
        <v>237</v>
      </c>
      <c r="G161" s="1">
        <f>SUM(G152:G160)</f>
        <v>2894</v>
      </c>
      <c r="H161" s="1" t="s">
        <v>129</v>
      </c>
      <c r="I161" s="55">
        <v>7455</v>
      </c>
      <c r="J161" s="56"/>
    </row>
    <row r="162" spans="6:10" x14ac:dyDescent="0.2">
      <c r="F162" s="33" t="s">
        <v>240</v>
      </c>
      <c r="G162" s="33">
        <f>G161/I161</f>
        <v>0.38819584171696847</v>
      </c>
      <c r="H162" s="33" t="s">
        <v>129</v>
      </c>
      <c r="I162" s="57" t="s">
        <v>279</v>
      </c>
      <c r="J162" s="58"/>
    </row>
    <row r="163" spans="6:10" x14ac:dyDescent="0.2">
      <c r="G163" s="36"/>
      <c r="H163" s="36"/>
      <c r="I163" s="36"/>
      <c r="J163" s="36"/>
    </row>
    <row r="164" spans="6:10" x14ac:dyDescent="0.2">
      <c r="F164" t="s">
        <v>416</v>
      </c>
      <c r="G164" s="36">
        <v>375</v>
      </c>
      <c r="H164" s="36"/>
      <c r="I164" s="36" t="s">
        <v>674</v>
      </c>
      <c r="J164" s="36"/>
    </row>
    <row r="165" spans="6:10" x14ac:dyDescent="0.2">
      <c r="F165" t="s">
        <v>417</v>
      </c>
      <c r="G165">
        <f>G164/60</f>
        <v>6.25</v>
      </c>
      <c r="I165" t="s">
        <v>675</v>
      </c>
    </row>
    <row r="168" spans="6:10" x14ac:dyDescent="0.2">
      <c r="F168" s="82" t="s">
        <v>252</v>
      </c>
      <c r="G168" s="84"/>
    </row>
    <row r="169" spans="6:10" x14ac:dyDescent="0.2">
      <c r="F169" s="43" t="s">
        <v>415</v>
      </c>
      <c r="G169" s="43">
        <f>J114</f>
        <v>1.2583740000000001</v>
      </c>
    </row>
    <row r="170" spans="6:10" x14ac:dyDescent="0.2">
      <c r="F170" s="1" t="s">
        <v>496</v>
      </c>
      <c r="G170" s="1">
        <f>G165*G162</f>
        <v>2.4262240107310529</v>
      </c>
    </row>
    <row r="171" spans="6:10" x14ac:dyDescent="0.2">
      <c r="F171" s="33" t="s">
        <v>418</v>
      </c>
      <c r="G171" s="21">
        <f>SUM(G169:G170)</f>
        <v>3.6845980107310528</v>
      </c>
    </row>
    <row r="173" spans="6:10" x14ac:dyDescent="0.2">
      <c r="F173" s="82" t="s">
        <v>256</v>
      </c>
      <c r="G173" s="84"/>
    </row>
    <row r="174" spans="6:10" x14ac:dyDescent="0.2">
      <c r="F174" s="43" t="s">
        <v>415</v>
      </c>
      <c r="G174" s="43">
        <f>J119</f>
        <v>1.3097099999999999</v>
      </c>
    </row>
    <row r="175" spans="6:10" x14ac:dyDescent="0.2">
      <c r="F175" s="1" t="s">
        <v>496</v>
      </c>
      <c r="G175" s="1">
        <f>G165*G162</f>
        <v>2.4262240107310529</v>
      </c>
    </row>
    <row r="176" spans="6:10" x14ac:dyDescent="0.2">
      <c r="F176" s="33" t="s">
        <v>495</v>
      </c>
      <c r="G176" s="21">
        <f>SUM(G174:G175)</f>
        <v>3.7359340107310528</v>
      </c>
    </row>
    <row r="178" spans="6:7" x14ac:dyDescent="0.2">
      <c r="F178" s="82" t="s">
        <v>258</v>
      </c>
      <c r="G178" s="84"/>
    </row>
    <row r="179" spans="6:7" x14ac:dyDescent="0.2">
      <c r="F179" s="43" t="s">
        <v>415</v>
      </c>
      <c r="G179" s="43">
        <f>J124</f>
        <v>1.329736</v>
      </c>
    </row>
    <row r="180" spans="6:7" x14ac:dyDescent="0.2">
      <c r="F180" s="1" t="s">
        <v>496</v>
      </c>
      <c r="G180" s="1">
        <f>$G$165*$G$162</f>
        <v>2.4262240107310529</v>
      </c>
    </row>
    <row r="181" spans="6:7" x14ac:dyDescent="0.2">
      <c r="F181" s="33" t="s">
        <v>497</v>
      </c>
      <c r="G181" s="21">
        <f>SUM(G179:G180)</f>
        <v>3.7559600107310529</v>
      </c>
    </row>
    <row r="183" spans="6:7" x14ac:dyDescent="0.2">
      <c r="F183" s="82" t="s">
        <v>260</v>
      </c>
      <c r="G183" s="84"/>
    </row>
    <row r="184" spans="6:7" x14ac:dyDescent="0.2">
      <c r="F184" s="43" t="s">
        <v>415</v>
      </c>
      <c r="G184" s="43">
        <f>J129</f>
        <v>1.520634</v>
      </c>
    </row>
    <row r="185" spans="6:7" x14ac:dyDescent="0.2">
      <c r="F185" s="1" t="s">
        <v>496</v>
      </c>
      <c r="G185" s="1">
        <f>$G$165*$G$162</f>
        <v>2.4262240107310529</v>
      </c>
    </row>
    <row r="186" spans="6:7" x14ac:dyDescent="0.2">
      <c r="F186" s="33" t="s">
        <v>498</v>
      </c>
      <c r="G186" s="21">
        <f>SUM(G184:G185)</f>
        <v>3.9468580107310531</v>
      </c>
    </row>
    <row r="188" spans="6:7" x14ac:dyDescent="0.2">
      <c r="F188" s="82" t="s">
        <v>262</v>
      </c>
      <c r="G188" s="84"/>
    </row>
    <row r="189" spans="6:7" x14ac:dyDescent="0.2">
      <c r="F189" s="43" t="s">
        <v>415</v>
      </c>
      <c r="G189" s="43">
        <f>J134</f>
        <v>1.1603520000000001</v>
      </c>
    </row>
    <row r="190" spans="6:7" x14ac:dyDescent="0.2">
      <c r="F190" s="1" t="s">
        <v>496</v>
      </c>
      <c r="G190" s="1">
        <f>$G$165*$G$162</f>
        <v>2.4262240107310529</v>
      </c>
    </row>
    <row r="191" spans="6:7" x14ac:dyDescent="0.2">
      <c r="F191" s="33" t="s">
        <v>499</v>
      </c>
      <c r="G191" s="21">
        <f>SUM(G189:G190)</f>
        <v>3.5865760107310529</v>
      </c>
    </row>
    <row r="193" spans="6:7" x14ac:dyDescent="0.2">
      <c r="F193" s="82" t="s">
        <v>264</v>
      </c>
      <c r="G193" s="84"/>
    </row>
    <row r="194" spans="6:7" x14ac:dyDescent="0.2">
      <c r="F194" s="43" t="s">
        <v>415</v>
      </c>
      <c r="G194" s="43">
        <f>J139</f>
        <v>1.4090960000000001</v>
      </c>
    </row>
    <row r="195" spans="6:7" x14ac:dyDescent="0.2">
      <c r="F195" s="1" t="s">
        <v>496</v>
      </c>
      <c r="G195" s="1">
        <f>$G$165*$G$162</f>
        <v>2.4262240107310529</v>
      </c>
    </row>
    <row r="196" spans="6:7" x14ac:dyDescent="0.2">
      <c r="F196" s="33" t="s">
        <v>500</v>
      </c>
      <c r="G196" s="21">
        <f>SUM(G194:G195)</f>
        <v>3.8353200107310528</v>
      </c>
    </row>
    <row r="198" spans="6:7" x14ac:dyDescent="0.2">
      <c r="F198" s="82" t="s">
        <v>266</v>
      </c>
      <c r="G198" s="84"/>
    </row>
    <row r="199" spans="6:7" x14ac:dyDescent="0.2">
      <c r="F199" s="43" t="s">
        <v>415</v>
      </c>
      <c r="G199" s="43">
        <f>J144</f>
        <v>1.2518020000000001</v>
      </c>
    </row>
    <row r="200" spans="6:7" x14ac:dyDescent="0.2">
      <c r="F200" s="1" t="s">
        <v>496</v>
      </c>
      <c r="G200" s="1">
        <f>$G$165*$G$162</f>
        <v>2.4262240107310529</v>
      </c>
    </row>
    <row r="201" spans="6:7" x14ac:dyDescent="0.2">
      <c r="F201" s="33" t="s">
        <v>501</v>
      </c>
      <c r="G201" s="21">
        <f>SUM(G199:G200)</f>
        <v>3.678026010731053</v>
      </c>
    </row>
    <row r="203" spans="6:7" x14ac:dyDescent="0.2">
      <c r="F203" s="82" t="s">
        <v>268</v>
      </c>
      <c r="G203" s="84"/>
    </row>
    <row r="204" spans="6:7" x14ac:dyDescent="0.2">
      <c r="F204" s="43" t="s">
        <v>415</v>
      </c>
      <c r="G204" s="43">
        <f>J149</f>
        <v>1.376236</v>
      </c>
    </row>
    <row r="205" spans="6:7" x14ac:dyDescent="0.2">
      <c r="F205" s="1" t="s">
        <v>496</v>
      </c>
      <c r="G205" s="1">
        <f>$G$165*$G$162</f>
        <v>2.4262240107310529</v>
      </c>
    </row>
    <row r="206" spans="6:7" x14ac:dyDescent="0.2">
      <c r="F206" s="33" t="s">
        <v>502</v>
      </c>
      <c r="G206" s="21">
        <f>SUM(G204:G205)</f>
        <v>3.8024600107310529</v>
      </c>
    </row>
  </sheetData>
  <mergeCells count="98">
    <mergeCell ref="L27:P27"/>
    <mergeCell ref="O28:P28"/>
    <mergeCell ref="O29:P29"/>
    <mergeCell ref="R41:S41"/>
    <mergeCell ref="R46:S46"/>
    <mergeCell ref="F168:G168"/>
    <mergeCell ref="F173:G173"/>
    <mergeCell ref="F178:G178"/>
    <mergeCell ref="I162:J162"/>
    <mergeCell ref="I161:J161"/>
    <mergeCell ref="F136:J136"/>
    <mergeCell ref="F141:J141"/>
    <mergeCell ref="F101:J101"/>
    <mergeCell ref="L40:M40"/>
    <mergeCell ref="I160:J160"/>
    <mergeCell ref="F193:G193"/>
    <mergeCell ref="F198:G198"/>
    <mergeCell ref="F203:G203"/>
    <mergeCell ref="F183:G183"/>
    <mergeCell ref="F188:G188"/>
    <mergeCell ref="O37:P37"/>
    <mergeCell ref="O38:P38"/>
    <mergeCell ref="L32:P32"/>
    <mergeCell ref="O33:P33"/>
    <mergeCell ref="O34:P34"/>
    <mergeCell ref="O35:P35"/>
    <mergeCell ref="O36:P36"/>
    <mergeCell ref="F146:J146"/>
    <mergeCell ref="F78:J78"/>
    <mergeCell ref="F89:J89"/>
    <mergeCell ref="F111:J111"/>
    <mergeCell ref="F116:J116"/>
    <mergeCell ref="F121:J121"/>
    <mergeCell ref="F126:J126"/>
    <mergeCell ref="F131:J131"/>
    <mergeCell ref="I155:J155"/>
    <mergeCell ref="I156:J156"/>
    <mergeCell ref="I158:J158"/>
    <mergeCell ref="F151:J151"/>
    <mergeCell ref="I152:J152"/>
    <mergeCell ref="I153:J153"/>
    <mergeCell ref="I157:J157"/>
    <mergeCell ref="I154:J154"/>
    <mergeCell ref="AD27:AH27"/>
    <mergeCell ref="R31:V31"/>
    <mergeCell ref="U32:V32"/>
    <mergeCell ref="AA27:AB27"/>
    <mergeCell ref="AA28:AB28"/>
    <mergeCell ref="AD32:AH32"/>
    <mergeCell ref="X30:Y30"/>
    <mergeCell ref="AD3:AH3"/>
    <mergeCell ref="AD12:AH12"/>
    <mergeCell ref="R21:V21"/>
    <mergeCell ref="R26:V26"/>
    <mergeCell ref="X3:AB3"/>
    <mergeCell ref="X9:AB9"/>
    <mergeCell ref="X15:AB15"/>
    <mergeCell ref="X19:AB19"/>
    <mergeCell ref="X23:AB23"/>
    <mergeCell ref="AA24:AB24"/>
    <mergeCell ref="AA25:AB25"/>
    <mergeCell ref="AA26:AB26"/>
    <mergeCell ref="L11:P11"/>
    <mergeCell ref="L16:P16"/>
    <mergeCell ref="L21:P21"/>
    <mergeCell ref="AD17:AH17"/>
    <mergeCell ref="AD22:AH22"/>
    <mergeCell ref="AD1:AH1"/>
    <mergeCell ref="F33:J33"/>
    <mergeCell ref="F45:J45"/>
    <mergeCell ref="F55:J55"/>
    <mergeCell ref="F65:J65"/>
    <mergeCell ref="F10:J10"/>
    <mergeCell ref="F22:J22"/>
    <mergeCell ref="X1:AB1"/>
    <mergeCell ref="F1:J1"/>
    <mergeCell ref="F3:J3"/>
    <mergeCell ref="L1:P1"/>
    <mergeCell ref="R1:V1"/>
    <mergeCell ref="R3:V3"/>
    <mergeCell ref="R11:V11"/>
    <mergeCell ref="R16:V16"/>
    <mergeCell ref="L3:P3"/>
    <mergeCell ref="AG40:AH40"/>
    <mergeCell ref="AG41:AH41"/>
    <mergeCell ref="AG35:AH35"/>
    <mergeCell ref="AG36:AH36"/>
    <mergeCell ref="AG37:AH37"/>
    <mergeCell ref="AG38:AH38"/>
    <mergeCell ref="AG39:AH39"/>
    <mergeCell ref="U33:V33"/>
    <mergeCell ref="U35:V35"/>
    <mergeCell ref="U37:V37"/>
    <mergeCell ref="U36:V36"/>
    <mergeCell ref="AG33:AH33"/>
    <mergeCell ref="AG34:AH34"/>
    <mergeCell ref="X35:Y35"/>
    <mergeCell ref="U34:V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288C-0161-D547-8F8B-5CDA596670C4}">
  <dimension ref="A1:AN115"/>
  <sheetViews>
    <sheetView topLeftCell="N15" zoomScaleNormal="150" zoomScaleSheetLayoutView="100" workbookViewId="0">
      <selection activeCell="AJ57" sqref="AJ57"/>
    </sheetView>
  </sheetViews>
  <sheetFormatPr defaultRowHeight="15" x14ac:dyDescent="0.2"/>
  <cols>
    <col min="1" max="1" width="28.65234375" customWidth="1"/>
    <col min="2" max="2" width="10.22265625" customWidth="1"/>
    <col min="3" max="3" width="5.109375" customWidth="1"/>
    <col min="6" max="6" width="22.8671875" customWidth="1"/>
    <col min="7" max="7" width="11.97265625" bestFit="1" customWidth="1"/>
    <col min="8" max="8" width="3.765625" customWidth="1"/>
    <col min="12" max="12" width="22.1953125" customWidth="1"/>
    <col min="14" max="14" width="3.359375" customWidth="1"/>
    <col min="18" max="18" width="21.25390625" customWidth="1"/>
    <col min="20" max="20" width="4.3046875" customWidth="1"/>
    <col min="24" max="24" width="21.7890625" customWidth="1"/>
    <col min="25" max="25" width="10.0859375" bestFit="1" customWidth="1"/>
    <col min="26" max="26" width="3.62890625" customWidth="1"/>
    <col min="30" max="30" width="19.7734375" customWidth="1"/>
    <col min="32" max="32" width="3.62890625" customWidth="1"/>
    <col min="36" max="36" width="20.04296875" customWidth="1"/>
    <col min="38" max="38" width="4.3046875" customWidth="1"/>
    <col min="40" max="40" width="8.875" bestFit="1" customWidth="1"/>
  </cols>
  <sheetData>
    <row r="1" spans="1:40" ht="27.75" x14ac:dyDescent="0.2">
      <c r="A1" s="9" t="s">
        <v>0</v>
      </c>
      <c r="B1" s="28" t="s">
        <v>1</v>
      </c>
      <c r="C1" s="11" t="s">
        <v>2</v>
      </c>
      <c r="D1" s="12" t="s">
        <v>3</v>
      </c>
      <c r="F1" s="115" t="s">
        <v>280</v>
      </c>
      <c r="G1" s="115"/>
      <c r="H1" s="115"/>
      <c r="I1" s="115"/>
      <c r="J1" s="115"/>
      <c r="L1" s="116" t="s">
        <v>281</v>
      </c>
      <c r="M1" s="116"/>
      <c r="N1" s="116"/>
      <c r="O1" s="116"/>
      <c r="P1" s="116"/>
      <c r="R1" s="105" t="s">
        <v>282</v>
      </c>
      <c r="S1" s="105"/>
      <c r="T1" s="105"/>
      <c r="U1" s="105"/>
      <c r="V1" s="105"/>
      <c r="X1" s="107" t="s">
        <v>283</v>
      </c>
      <c r="Y1" s="107"/>
      <c r="Z1" s="107"/>
      <c r="AA1" s="107"/>
      <c r="AB1" s="107"/>
      <c r="AD1" s="87" t="s">
        <v>284</v>
      </c>
      <c r="AE1" s="87"/>
      <c r="AF1" s="87"/>
      <c r="AG1" s="87"/>
      <c r="AH1" s="87"/>
      <c r="AJ1" s="118" t="s">
        <v>285</v>
      </c>
      <c r="AK1" s="118"/>
      <c r="AL1" s="118"/>
      <c r="AM1" s="118"/>
      <c r="AN1" s="118"/>
    </row>
    <row r="2" spans="1:40" x14ac:dyDescent="0.2">
      <c r="A2" s="1" t="s">
        <v>11</v>
      </c>
      <c r="B2" s="3">
        <v>69.03</v>
      </c>
      <c r="C2" s="5" t="s">
        <v>12</v>
      </c>
      <c r="D2" s="6">
        <f>B2/1000</f>
        <v>6.9030000000000008E-2</v>
      </c>
    </row>
    <row r="3" spans="1:40" x14ac:dyDescent="0.2">
      <c r="A3" s="1" t="s">
        <v>13</v>
      </c>
      <c r="B3" s="3">
        <v>129.1</v>
      </c>
      <c r="C3" s="5" t="s">
        <v>12</v>
      </c>
      <c r="D3" s="6">
        <f t="shared" ref="D3:D66" si="0">B3/1000</f>
        <v>0.12909999999999999</v>
      </c>
      <c r="F3" s="63" t="s">
        <v>286</v>
      </c>
      <c r="G3" s="63"/>
      <c r="H3" s="63"/>
      <c r="I3" s="63"/>
      <c r="J3" s="63"/>
      <c r="L3" s="117" t="s">
        <v>287</v>
      </c>
      <c r="M3" s="117"/>
      <c r="N3" s="117"/>
      <c r="O3" s="117"/>
      <c r="P3" s="117"/>
      <c r="R3" s="111" t="s">
        <v>288</v>
      </c>
      <c r="S3" s="111"/>
      <c r="T3" s="111"/>
      <c r="U3" s="111"/>
      <c r="V3" s="111"/>
      <c r="X3" s="112" t="s">
        <v>289</v>
      </c>
      <c r="Y3" s="112"/>
      <c r="Z3" s="112"/>
      <c r="AA3" s="112"/>
      <c r="AB3" s="112"/>
      <c r="AD3" s="85" t="s">
        <v>290</v>
      </c>
      <c r="AE3" s="85"/>
      <c r="AF3" s="85"/>
      <c r="AG3" s="85"/>
      <c r="AH3" s="85"/>
      <c r="AJ3" s="119" t="s">
        <v>291</v>
      </c>
      <c r="AK3" s="119"/>
      <c r="AL3" s="119"/>
      <c r="AM3" s="119"/>
      <c r="AN3" s="119"/>
    </row>
    <row r="4" spans="1:40" x14ac:dyDescent="0.2">
      <c r="A4" s="1" t="s">
        <v>21</v>
      </c>
      <c r="B4" s="3">
        <v>11.59</v>
      </c>
      <c r="C4" s="5" t="s">
        <v>12</v>
      </c>
      <c r="D4" s="6">
        <f t="shared" si="0"/>
        <v>1.159E-2</v>
      </c>
      <c r="F4" s="1" t="s">
        <v>39</v>
      </c>
      <c r="G4" s="1">
        <v>625</v>
      </c>
      <c r="H4" s="1" t="s">
        <v>22</v>
      </c>
      <c r="I4" s="1">
        <f>_xlfn.XLOOKUP(F4,$A$2:$A$113,$D$2:$D$113)</f>
        <v>5.6149999999999999E-2</v>
      </c>
      <c r="J4" s="1">
        <f>I4*G4</f>
        <v>35.09375</v>
      </c>
      <c r="L4" s="1" t="s">
        <v>56</v>
      </c>
      <c r="M4" s="1">
        <v>2500</v>
      </c>
      <c r="N4" s="1" t="s">
        <v>22</v>
      </c>
      <c r="O4" s="1">
        <f>_xlfn.XLOOKUP(L4,$A$2:$A$113,$D$2:$D$113)</f>
        <v>0.1056</v>
      </c>
      <c r="P4" s="1">
        <f>O4*M4</f>
        <v>264</v>
      </c>
      <c r="R4" s="1" t="s">
        <v>26</v>
      </c>
      <c r="S4" s="1">
        <v>600</v>
      </c>
      <c r="T4" s="1" t="s">
        <v>22</v>
      </c>
      <c r="U4" s="1">
        <f>_xlfn.XLOOKUP(R4,$A$2:$A$113,$D$2:$D$113)</f>
        <v>1.315E-2</v>
      </c>
      <c r="V4" s="1">
        <f>U4*S4</f>
        <v>7.8900000000000006</v>
      </c>
      <c r="X4" s="1" t="s">
        <v>39</v>
      </c>
      <c r="Y4" s="1">
        <v>1360</v>
      </c>
      <c r="Z4" s="1" t="s">
        <v>22</v>
      </c>
      <c r="AA4" s="1">
        <f>_xlfn.XLOOKUP(X4,$A$2:$A$113,$D$2:$D$113)</f>
        <v>5.6149999999999999E-2</v>
      </c>
      <c r="AB4" s="1">
        <f>AA4*Y4</f>
        <v>76.364000000000004</v>
      </c>
      <c r="AD4" s="2" t="s">
        <v>36</v>
      </c>
      <c r="AE4" s="1">
        <v>2625</v>
      </c>
      <c r="AF4" s="1" t="s">
        <v>22</v>
      </c>
      <c r="AG4" s="1">
        <f>_xlfn.XLOOKUP(AD4,$A$2:$A$113,$D$2:$D$113)</f>
        <v>0.32900000000000001</v>
      </c>
      <c r="AH4" s="1">
        <f>AG4*AE4</f>
        <v>863.625</v>
      </c>
      <c r="AJ4" s="2" t="s">
        <v>39</v>
      </c>
      <c r="AK4" s="1">
        <v>780</v>
      </c>
      <c r="AL4" s="1" t="s">
        <v>22</v>
      </c>
      <c r="AM4" s="1">
        <f>_xlfn.XLOOKUP(AJ4,$A$2:$A$113,$D$2:$D$113)</f>
        <v>5.6149999999999999E-2</v>
      </c>
      <c r="AN4" s="1">
        <f>AM4*AK4</f>
        <v>43.796999999999997</v>
      </c>
    </row>
    <row r="5" spans="1:40" x14ac:dyDescent="0.2">
      <c r="A5" s="1" t="s">
        <v>26</v>
      </c>
      <c r="B5" s="3">
        <v>13.15</v>
      </c>
      <c r="C5" s="5" t="s">
        <v>12</v>
      </c>
      <c r="D5" s="6">
        <f t="shared" si="0"/>
        <v>1.315E-2</v>
      </c>
      <c r="F5" s="1" t="s">
        <v>29</v>
      </c>
      <c r="G5" s="1">
        <v>375</v>
      </c>
      <c r="H5" s="1" t="s">
        <v>22</v>
      </c>
      <c r="I5" s="1">
        <f t="shared" ref="I5:I10" si="1">_xlfn.XLOOKUP(F5,$A$2:$A$113,$D$2:$D$113)</f>
        <v>8.1000000000000003E-2</v>
      </c>
      <c r="J5" s="1">
        <f t="shared" ref="J5:J10" si="2">I5*G5</f>
        <v>30.375</v>
      </c>
      <c r="L5" s="1" t="s">
        <v>26</v>
      </c>
      <c r="M5" s="1">
        <v>500</v>
      </c>
      <c r="N5" s="1" t="s">
        <v>22</v>
      </c>
      <c r="O5" s="1">
        <f t="shared" ref="O5:O6" si="3">_xlfn.XLOOKUP(L5,$A$2:$A$113,$D$2:$D$113)</f>
        <v>1.315E-2</v>
      </c>
      <c r="P5" s="1">
        <f t="shared" ref="P5:P6" si="4">O5*M5</f>
        <v>6.5750000000000002</v>
      </c>
      <c r="R5" s="1" t="s">
        <v>29</v>
      </c>
      <c r="S5" s="1">
        <v>600</v>
      </c>
      <c r="T5" s="1" t="s">
        <v>22</v>
      </c>
      <c r="U5" s="1">
        <f t="shared" ref="U5:U9" si="5">_xlfn.XLOOKUP(R5,$A$2:$A$113,$D$2:$D$113)</f>
        <v>8.1000000000000003E-2</v>
      </c>
      <c r="V5" s="1">
        <f t="shared" ref="V5:V9" si="6">U5*S5</f>
        <v>48.6</v>
      </c>
      <c r="X5" s="1" t="s">
        <v>292</v>
      </c>
      <c r="Y5" s="1">
        <v>130</v>
      </c>
      <c r="Z5" s="1" t="s">
        <v>22</v>
      </c>
      <c r="AA5" s="1">
        <f>_xlfn.XLOOKUP(X5,$A$2:$A$115,$D$2:$D$115)</f>
        <v>0.14149999999999999</v>
      </c>
      <c r="AB5" s="1">
        <f t="shared" ref="AB5:AB12" si="7">AA5*Y5</f>
        <v>18.395</v>
      </c>
      <c r="AD5" s="1" t="s">
        <v>39</v>
      </c>
      <c r="AE5" s="1">
        <v>1750</v>
      </c>
      <c r="AF5" s="1" t="s">
        <v>22</v>
      </c>
      <c r="AG5" s="1">
        <f t="shared" ref="AG5:AG8" si="8">_xlfn.XLOOKUP(AD5,$A$2:$A$113,$D$2:$D$113)</f>
        <v>5.6149999999999999E-2</v>
      </c>
      <c r="AH5" s="1">
        <f t="shared" ref="AH5:AH8" si="9">AG5*AE5</f>
        <v>98.262500000000003</v>
      </c>
      <c r="AJ5" s="1" t="s">
        <v>29</v>
      </c>
      <c r="AK5" s="1">
        <v>375</v>
      </c>
      <c r="AL5" s="1" t="s">
        <v>22</v>
      </c>
      <c r="AM5" s="1">
        <f t="shared" ref="AM5:AM11" si="10">_xlfn.XLOOKUP(AJ5,$A$2:$A$113,$D$2:$D$113)</f>
        <v>8.1000000000000003E-2</v>
      </c>
      <c r="AN5" s="1">
        <f t="shared" ref="AN5:AN11" si="11">AM5*AK5</f>
        <v>30.375</v>
      </c>
    </row>
    <row r="6" spans="1:40" x14ac:dyDescent="0.2">
      <c r="A6" s="1" t="s">
        <v>31</v>
      </c>
      <c r="B6" s="3">
        <v>24.55</v>
      </c>
      <c r="C6" s="5" t="s">
        <v>12</v>
      </c>
      <c r="D6" s="6">
        <f t="shared" si="0"/>
        <v>2.4550000000000002E-2</v>
      </c>
      <c r="F6" s="1" t="s">
        <v>254</v>
      </c>
      <c r="G6" s="1">
        <v>62.5</v>
      </c>
      <c r="H6" s="1" t="s">
        <v>22</v>
      </c>
      <c r="I6" s="1">
        <f t="shared" si="1"/>
        <v>0.22781999999999999</v>
      </c>
      <c r="J6" s="1">
        <f t="shared" si="2"/>
        <v>14.23875</v>
      </c>
      <c r="L6" s="1" t="s">
        <v>90</v>
      </c>
      <c r="M6" s="1">
        <v>50</v>
      </c>
      <c r="N6" s="1" t="s">
        <v>22</v>
      </c>
      <c r="O6" s="1">
        <f t="shared" si="3"/>
        <v>0.93</v>
      </c>
      <c r="P6" s="1">
        <f t="shared" si="4"/>
        <v>46.5</v>
      </c>
      <c r="R6" s="1" t="s">
        <v>39</v>
      </c>
      <c r="S6" s="1">
        <v>200</v>
      </c>
      <c r="T6" s="1" t="s">
        <v>22</v>
      </c>
      <c r="U6" s="1">
        <f t="shared" si="5"/>
        <v>5.6149999999999999E-2</v>
      </c>
      <c r="V6" s="1">
        <f t="shared" si="6"/>
        <v>11.23</v>
      </c>
      <c r="X6" s="1" t="s">
        <v>29</v>
      </c>
      <c r="Y6" s="1">
        <v>850</v>
      </c>
      <c r="Z6" s="1" t="s">
        <v>22</v>
      </c>
      <c r="AA6" s="1">
        <f t="shared" ref="AA5:AA12" si="12">_xlfn.XLOOKUP(X6,$A$2:$A$113,$D$2:$D$113)</f>
        <v>8.1000000000000003E-2</v>
      </c>
      <c r="AB6" s="1">
        <f t="shared" si="7"/>
        <v>68.850000000000009</v>
      </c>
      <c r="AD6" s="1" t="s">
        <v>29</v>
      </c>
      <c r="AE6" s="1">
        <v>350</v>
      </c>
      <c r="AF6" s="1" t="s">
        <v>22</v>
      </c>
      <c r="AG6" s="1">
        <f t="shared" si="8"/>
        <v>8.1000000000000003E-2</v>
      </c>
      <c r="AH6" s="1">
        <f t="shared" si="9"/>
        <v>28.35</v>
      </c>
      <c r="AJ6" s="1" t="s">
        <v>254</v>
      </c>
      <c r="AK6" s="1">
        <v>62</v>
      </c>
      <c r="AL6" s="1" t="s">
        <v>22</v>
      </c>
      <c r="AM6" s="1">
        <f t="shared" si="10"/>
        <v>0.22781999999999999</v>
      </c>
      <c r="AN6" s="1">
        <f t="shared" si="11"/>
        <v>14.124839999999999</v>
      </c>
    </row>
    <row r="7" spans="1:40" x14ac:dyDescent="0.2">
      <c r="A7" s="1" t="s">
        <v>27</v>
      </c>
      <c r="B7" s="3">
        <v>16.75</v>
      </c>
      <c r="C7" s="5" t="s">
        <v>12</v>
      </c>
      <c r="D7" s="6">
        <f t="shared" si="0"/>
        <v>1.6750000000000001E-2</v>
      </c>
      <c r="F7" s="1" t="s">
        <v>23</v>
      </c>
      <c r="G7" s="1">
        <v>125</v>
      </c>
      <c r="H7" s="1" t="s">
        <v>22</v>
      </c>
      <c r="I7" s="1">
        <f t="shared" si="1"/>
        <v>0</v>
      </c>
      <c r="J7" s="1">
        <f t="shared" si="2"/>
        <v>0</v>
      </c>
      <c r="L7" s="1" t="s">
        <v>41</v>
      </c>
      <c r="M7" s="1">
        <f>SUM(M4:M6)</f>
        <v>3050</v>
      </c>
      <c r="N7" s="1" t="s">
        <v>22</v>
      </c>
      <c r="O7" s="1"/>
      <c r="P7" s="1">
        <f>SUM(P4:P6)</f>
        <v>317.07499999999999</v>
      </c>
      <c r="R7" s="1" t="s">
        <v>30</v>
      </c>
      <c r="S7" s="1">
        <v>5</v>
      </c>
      <c r="T7" s="1" t="s">
        <v>22</v>
      </c>
      <c r="U7" s="1">
        <f t="shared" si="5"/>
        <v>5.2500000000000003E-3</v>
      </c>
      <c r="V7" s="1">
        <f t="shared" si="6"/>
        <v>2.6250000000000002E-2</v>
      </c>
      <c r="X7" s="1" t="s">
        <v>254</v>
      </c>
      <c r="Y7" s="1">
        <v>150</v>
      </c>
      <c r="Z7" s="1" t="s">
        <v>22</v>
      </c>
      <c r="AA7" s="1">
        <f t="shared" si="12"/>
        <v>0.22781999999999999</v>
      </c>
      <c r="AB7" s="1">
        <f t="shared" si="7"/>
        <v>34.173000000000002</v>
      </c>
      <c r="AD7" s="1" t="s">
        <v>254</v>
      </c>
      <c r="AE7" s="1">
        <v>20</v>
      </c>
      <c r="AF7" s="1" t="s">
        <v>22</v>
      </c>
      <c r="AG7" s="1">
        <f t="shared" si="8"/>
        <v>0.22781999999999999</v>
      </c>
      <c r="AH7" s="1">
        <f t="shared" si="9"/>
        <v>4.5564</v>
      </c>
      <c r="AJ7" s="1" t="s">
        <v>26</v>
      </c>
      <c r="AK7" s="1">
        <v>125</v>
      </c>
      <c r="AL7" s="1" t="s">
        <v>22</v>
      </c>
      <c r="AM7" s="1">
        <f t="shared" si="10"/>
        <v>1.315E-2</v>
      </c>
      <c r="AN7" s="1">
        <f t="shared" si="11"/>
        <v>1.64375</v>
      </c>
    </row>
    <row r="8" spans="1:40" x14ac:dyDescent="0.2">
      <c r="A8" s="1" t="s">
        <v>35</v>
      </c>
      <c r="B8" s="3">
        <v>49.5</v>
      </c>
      <c r="C8" s="5" t="s">
        <v>12</v>
      </c>
      <c r="D8" s="6">
        <f t="shared" si="0"/>
        <v>4.9500000000000002E-2</v>
      </c>
      <c r="F8" s="1" t="s">
        <v>26</v>
      </c>
      <c r="G8" s="1">
        <v>62.5</v>
      </c>
      <c r="H8" s="1" t="s">
        <v>22</v>
      </c>
      <c r="I8" s="1">
        <f t="shared" si="1"/>
        <v>1.315E-2</v>
      </c>
      <c r="J8" s="1">
        <f t="shared" si="2"/>
        <v>0.82187500000000002</v>
      </c>
      <c r="L8" s="1" t="s">
        <v>43</v>
      </c>
      <c r="M8" s="1"/>
      <c r="N8" s="1"/>
      <c r="O8" s="1"/>
      <c r="P8" s="1">
        <f>P7/M7</f>
        <v>0.10395901639344261</v>
      </c>
      <c r="R8" s="1" t="s">
        <v>24</v>
      </c>
      <c r="S8" s="1">
        <v>210</v>
      </c>
      <c r="T8" s="1" t="s">
        <v>22</v>
      </c>
      <c r="U8" s="1">
        <f t="shared" si="5"/>
        <v>7.6060000000000003E-2</v>
      </c>
      <c r="V8" s="1">
        <f t="shared" si="6"/>
        <v>15.9726</v>
      </c>
      <c r="X8" s="1" t="s">
        <v>26</v>
      </c>
      <c r="Y8" s="1">
        <v>300</v>
      </c>
      <c r="Z8" s="1" t="s">
        <v>22</v>
      </c>
      <c r="AA8" s="1">
        <f t="shared" si="12"/>
        <v>1.315E-2</v>
      </c>
      <c r="AB8" s="1">
        <f t="shared" si="7"/>
        <v>3.9450000000000003</v>
      </c>
      <c r="AD8" s="1" t="s">
        <v>24</v>
      </c>
      <c r="AE8" s="1">
        <v>350</v>
      </c>
      <c r="AF8" s="1" t="s">
        <v>22</v>
      </c>
      <c r="AG8" s="1">
        <f t="shared" si="8"/>
        <v>7.6060000000000003E-2</v>
      </c>
      <c r="AH8" s="1">
        <f t="shared" si="9"/>
        <v>26.621000000000002</v>
      </c>
      <c r="AJ8" s="1" t="s">
        <v>23</v>
      </c>
      <c r="AK8" s="1">
        <v>62.5</v>
      </c>
      <c r="AL8" s="1" t="s">
        <v>22</v>
      </c>
      <c r="AM8" s="1">
        <f t="shared" si="10"/>
        <v>0</v>
      </c>
      <c r="AN8" s="1">
        <f t="shared" si="11"/>
        <v>0</v>
      </c>
    </row>
    <row r="9" spans="1:40" x14ac:dyDescent="0.2">
      <c r="A9" s="1" t="s">
        <v>40</v>
      </c>
      <c r="B9" s="3">
        <v>83.99</v>
      </c>
      <c r="C9" s="5" t="s">
        <v>12</v>
      </c>
      <c r="D9" s="6">
        <f t="shared" si="0"/>
        <v>8.3989999999999995E-2</v>
      </c>
      <c r="F9" s="2" t="s">
        <v>36</v>
      </c>
      <c r="G9" s="1">
        <v>940</v>
      </c>
      <c r="H9" s="1" t="s">
        <v>22</v>
      </c>
      <c r="I9" s="1">
        <f t="shared" si="1"/>
        <v>0.32900000000000001</v>
      </c>
      <c r="J9" s="1">
        <f t="shared" si="2"/>
        <v>309.26</v>
      </c>
      <c r="R9" s="1" t="s">
        <v>189</v>
      </c>
      <c r="S9" s="1">
        <v>1130</v>
      </c>
      <c r="T9" s="1" t="s">
        <v>22</v>
      </c>
      <c r="U9" s="1">
        <f t="shared" si="5"/>
        <v>0.14759999999999998</v>
      </c>
      <c r="V9" s="1">
        <f t="shared" si="6"/>
        <v>166.78799999999998</v>
      </c>
      <c r="X9" s="2" t="s">
        <v>23</v>
      </c>
      <c r="Y9" s="1">
        <v>150</v>
      </c>
      <c r="Z9" s="1" t="s">
        <v>22</v>
      </c>
      <c r="AA9" s="1">
        <f t="shared" si="12"/>
        <v>0</v>
      </c>
      <c r="AB9" s="1">
        <f t="shared" si="7"/>
        <v>0</v>
      </c>
      <c r="AD9" s="1" t="s">
        <v>41</v>
      </c>
      <c r="AE9" s="1">
        <f>SUM(AE4:AE8)</f>
        <v>5095</v>
      </c>
      <c r="AF9" s="1" t="s">
        <v>22</v>
      </c>
      <c r="AG9" s="1"/>
      <c r="AH9" s="1">
        <f>SUM(AH4:AH8)</f>
        <v>1021.4149000000001</v>
      </c>
      <c r="AJ9" s="1" t="s">
        <v>24</v>
      </c>
      <c r="AK9" s="1">
        <v>125</v>
      </c>
      <c r="AL9" s="1" t="s">
        <v>22</v>
      </c>
      <c r="AM9" s="1">
        <f t="shared" si="10"/>
        <v>7.6060000000000003E-2</v>
      </c>
      <c r="AN9" s="1">
        <f t="shared" si="11"/>
        <v>9.5075000000000003</v>
      </c>
    </row>
    <row r="10" spans="1:40" x14ac:dyDescent="0.2">
      <c r="A10" s="1" t="s">
        <v>42</v>
      </c>
      <c r="B10" s="3">
        <v>11.59</v>
      </c>
      <c r="C10" s="5" t="s">
        <v>12</v>
      </c>
      <c r="D10" s="6">
        <f t="shared" si="0"/>
        <v>1.159E-2</v>
      </c>
      <c r="F10" s="1" t="s">
        <v>24</v>
      </c>
      <c r="G10" s="1">
        <v>250</v>
      </c>
      <c r="H10" s="1" t="s">
        <v>22</v>
      </c>
      <c r="I10" s="1">
        <f t="shared" si="1"/>
        <v>7.6060000000000003E-2</v>
      </c>
      <c r="J10" s="1">
        <f t="shared" si="2"/>
        <v>19.015000000000001</v>
      </c>
      <c r="L10" s="117" t="s">
        <v>293</v>
      </c>
      <c r="M10" s="117"/>
      <c r="N10" s="117"/>
      <c r="O10" s="117"/>
      <c r="P10" s="117"/>
      <c r="R10" s="1" t="s">
        <v>41</v>
      </c>
      <c r="S10" s="1">
        <f>SUM(S4:S9)</f>
        <v>2745</v>
      </c>
      <c r="T10" s="1" t="s">
        <v>22</v>
      </c>
      <c r="U10" s="1"/>
      <c r="V10" s="1">
        <f>SUM(V4:V9)</f>
        <v>250.50684999999999</v>
      </c>
      <c r="X10" s="2" t="s">
        <v>36</v>
      </c>
      <c r="Y10" s="1">
        <v>1300</v>
      </c>
      <c r="Z10" s="1" t="s">
        <v>22</v>
      </c>
      <c r="AA10" s="1">
        <f t="shared" si="12"/>
        <v>0.32900000000000001</v>
      </c>
      <c r="AB10" s="1">
        <f t="shared" si="7"/>
        <v>427.70000000000005</v>
      </c>
      <c r="AD10" s="1" t="s">
        <v>43</v>
      </c>
      <c r="AE10" s="1"/>
      <c r="AF10" s="1"/>
      <c r="AG10" s="1"/>
      <c r="AH10" s="1">
        <f>AH9/AE9</f>
        <v>0.20047397448478904</v>
      </c>
      <c r="AJ10" s="1" t="s">
        <v>30</v>
      </c>
      <c r="AK10" s="1">
        <v>20</v>
      </c>
      <c r="AL10" s="1" t="s">
        <v>22</v>
      </c>
      <c r="AM10" s="1">
        <f t="shared" si="10"/>
        <v>5.2500000000000003E-3</v>
      </c>
      <c r="AN10" s="1">
        <f t="shared" si="11"/>
        <v>0.10500000000000001</v>
      </c>
    </row>
    <row r="11" spans="1:40" x14ac:dyDescent="0.2">
      <c r="A11" s="1" t="s">
        <v>45</v>
      </c>
      <c r="B11" s="3">
        <v>14.11</v>
      </c>
      <c r="C11" s="5" t="s">
        <v>12</v>
      </c>
      <c r="D11" s="6">
        <f t="shared" si="0"/>
        <v>1.4109999999999999E-2</v>
      </c>
      <c r="F11" s="1" t="s">
        <v>41</v>
      </c>
      <c r="G11" s="1">
        <f>SUM(G4:G10)</f>
        <v>2440</v>
      </c>
      <c r="H11" s="1" t="s">
        <v>22</v>
      </c>
      <c r="I11" s="1"/>
      <c r="J11" s="1">
        <f>SUM(J4:J10)</f>
        <v>408.80437499999999</v>
      </c>
      <c r="L11" s="1" t="s">
        <v>165</v>
      </c>
      <c r="M11" s="1">
        <v>1500</v>
      </c>
      <c r="N11" s="1" t="s">
        <v>22</v>
      </c>
      <c r="O11" s="1">
        <f>_xlfn.XLOOKUP(L11,$A$2:$A$113,$D$2:$D$113)</f>
        <v>0.2248</v>
      </c>
      <c r="P11" s="1">
        <f>O11*M11</f>
        <v>337.2</v>
      </c>
      <c r="R11" s="1" t="s">
        <v>43</v>
      </c>
      <c r="S11" s="1"/>
      <c r="T11" s="1"/>
      <c r="U11" s="1"/>
      <c r="V11" s="1">
        <f>V10/S10</f>
        <v>9.1259326047358827E-2</v>
      </c>
      <c r="X11" s="2" t="s">
        <v>111</v>
      </c>
      <c r="Y11" s="1">
        <v>870</v>
      </c>
      <c r="Z11" s="1" t="s">
        <v>22</v>
      </c>
      <c r="AA11" s="1">
        <f t="shared" si="12"/>
        <v>0.32980000000000004</v>
      </c>
      <c r="AB11" s="1">
        <f t="shared" si="7"/>
        <v>286.92600000000004</v>
      </c>
      <c r="AJ11" s="2" t="s">
        <v>111</v>
      </c>
      <c r="AK11" s="1">
        <v>1000</v>
      </c>
      <c r="AL11" s="1" t="s">
        <v>22</v>
      </c>
      <c r="AM11" s="1">
        <f t="shared" si="10"/>
        <v>0.32980000000000004</v>
      </c>
      <c r="AN11" s="1">
        <f t="shared" si="11"/>
        <v>329.8</v>
      </c>
    </row>
    <row r="12" spans="1:40" x14ac:dyDescent="0.2">
      <c r="A12" s="1" t="s">
        <v>46</v>
      </c>
      <c r="B12" s="3">
        <v>24.61</v>
      </c>
      <c r="C12" s="5" t="s">
        <v>12</v>
      </c>
      <c r="D12" s="6">
        <f t="shared" si="0"/>
        <v>2.461E-2</v>
      </c>
      <c r="F12" s="1" t="s">
        <v>43</v>
      </c>
      <c r="G12" s="1"/>
      <c r="H12" s="1"/>
      <c r="I12" s="1"/>
      <c r="J12" s="1">
        <f>J11/G11</f>
        <v>0.16754277663934425</v>
      </c>
      <c r="L12" s="1" t="s">
        <v>26</v>
      </c>
      <c r="M12" s="1">
        <v>1000</v>
      </c>
      <c r="N12" s="1" t="s">
        <v>22</v>
      </c>
      <c r="O12" s="1">
        <f t="shared" ref="O12:O14" si="13">_xlfn.XLOOKUP(L12,$A$2:$A$113,$D$2:$D$113)</f>
        <v>1.315E-2</v>
      </c>
      <c r="P12" s="1">
        <f t="shared" ref="P12:P14" si="14">O12*M12</f>
        <v>13.15</v>
      </c>
      <c r="X12" s="1" t="s">
        <v>24</v>
      </c>
      <c r="Y12" s="1">
        <v>290</v>
      </c>
      <c r="Z12" s="1" t="s">
        <v>22</v>
      </c>
      <c r="AA12" s="1">
        <f t="shared" si="12"/>
        <v>7.6060000000000003E-2</v>
      </c>
      <c r="AB12" s="1">
        <f t="shared" si="7"/>
        <v>22.057400000000001</v>
      </c>
      <c r="AD12" s="85" t="s">
        <v>294</v>
      </c>
      <c r="AE12" s="85"/>
      <c r="AF12" s="85"/>
      <c r="AG12" s="85"/>
      <c r="AH12" s="85"/>
      <c r="AJ12" s="1" t="s">
        <v>41</v>
      </c>
      <c r="AK12" s="1">
        <f>SUM(AK4:AK11)</f>
        <v>2549.5</v>
      </c>
      <c r="AL12" s="1" t="s">
        <v>22</v>
      </c>
      <c r="AM12" s="1"/>
      <c r="AN12" s="1">
        <f>SUM(AN4:AN11)</f>
        <v>429.35309000000001</v>
      </c>
    </row>
    <row r="13" spans="1:40" x14ac:dyDescent="0.2">
      <c r="A13" s="1" t="s">
        <v>30</v>
      </c>
      <c r="B13" s="3">
        <v>5.25</v>
      </c>
      <c r="C13" s="5" t="s">
        <v>12</v>
      </c>
      <c r="D13" s="6">
        <f t="shared" si="0"/>
        <v>5.2500000000000003E-3</v>
      </c>
      <c r="L13" s="1" t="s">
        <v>30</v>
      </c>
      <c r="M13" s="1">
        <v>20</v>
      </c>
      <c r="N13" s="1" t="s">
        <v>22</v>
      </c>
      <c r="O13" s="1">
        <f t="shared" si="13"/>
        <v>5.2500000000000003E-3</v>
      </c>
      <c r="P13" s="1">
        <f t="shared" si="14"/>
        <v>0.10500000000000001</v>
      </c>
      <c r="R13" s="111" t="s">
        <v>295</v>
      </c>
      <c r="S13" s="111"/>
      <c r="T13" s="111"/>
      <c r="U13" s="111"/>
      <c r="V13" s="111"/>
      <c r="X13" s="1" t="s">
        <v>41</v>
      </c>
      <c r="Y13" s="1">
        <f>SUM(Y4:Y12)</f>
        <v>5400</v>
      </c>
      <c r="Z13" s="1" t="s">
        <v>22</v>
      </c>
      <c r="AA13" s="1"/>
      <c r="AB13" s="1">
        <f>SUM(AB4:AB12)</f>
        <v>938.4104000000001</v>
      </c>
      <c r="AD13" s="2" t="s">
        <v>36</v>
      </c>
      <c r="AE13" s="1">
        <v>1000</v>
      </c>
      <c r="AF13" s="1" t="s">
        <v>22</v>
      </c>
      <c r="AG13" s="1">
        <f>_xlfn.XLOOKUP(AD13,$A$2:$A$112,$D$2:$D$112)</f>
        <v>0.32900000000000001</v>
      </c>
      <c r="AH13" s="1">
        <f>AG13*AE13</f>
        <v>329</v>
      </c>
      <c r="AJ13" s="1" t="s">
        <v>43</v>
      </c>
      <c r="AK13" s="1"/>
      <c r="AL13" s="1"/>
      <c r="AM13" s="1"/>
      <c r="AN13" s="1">
        <f>AN12/AK12</f>
        <v>0.16840678172190626</v>
      </c>
    </row>
    <row r="14" spans="1:40" x14ac:dyDescent="0.2">
      <c r="A14" s="1" t="s">
        <v>55</v>
      </c>
      <c r="B14" s="3">
        <v>13.41</v>
      </c>
      <c r="C14" s="5" t="s">
        <v>12</v>
      </c>
      <c r="D14" s="6">
        <f t="shared" si="0"/>
        <v>1.341E-2</v>
      </c>
      <c r="F14" s="63" t="s">
        <v>296</v>
      </c>
      <c r="G14" s="63"/>
      <c r="H14" s="63"/>
      <c r="I14" s="63"/>
      <c r="J14" s="63"/>
      <c r="L14" s="2" t="s">
        <v>111</v>
      </c>
      <c r="M14" s="1">
        <v>450</v>
      </c>
      <c r="N14" s="1" t="s">
        <v>22</v>
      </c>
      <c r="O14" s="1">
        <f t="shared" si="13"/>
        <v>0.32980000000000004</v>
      </c>
      <c r="P14" s="1">
        <f t="shared" si="14"/>
        <v>148.41000000000003</v>
      </c>
      <c r="R14" s="1" t="s">
        <v>297</v>
      </c>
      <c r="S14" s="1">
        <v>1500</v>
      </c>
      <c r="T14" s="1" t="s">
        <v>22</v>
      </c>
      <c r="U14" s="1">
        <f>_xlfn.XLOOKUP(R14,$A$2:$A$114,$D$2:$D$114)</f>
        <v>0.26485000000000003</v>
      </c>
      <c r="V14" s="1">
        <f>U14*S14</f>
        <v>397.27500000000003</v>
      </c>
      <c r="X14" s="1" t="s">
        <v>43</v>
      </c>
      <c r="Y14" s="1"/>
      <c r="Z14" s="1"/>
      <c r="AA14" s="1"/>
      <c r="AB14" s="1">
        <f>AB13/Y13</f>
        <v>0.17377970370370371</v>
      </c>
      <c r="AD14" s="1" t="s">
        <v>41</v>
      </c>
      <c r="AE14" s="1">
        <f>SUM(AE13:AE13)</f>
        <v>1000</v>
      </c>
      <c r="AF14" s="1" t="s">
        <v>22</v>
      </c>
      <c r="AG14" s="1"/>
      <c r="AH14" s="1">
        <f>SUM(AH13:AH13)</f>
        <v>329</v>
      </c>
    </row>
    <row r="15" spans="1:40" x14ac:dyDescent="0.2">
      <c r="A15" s="1" t="s">
        <v>60</v>
      </c>
      <c r="B15" s="3">
        <v>107</v>
      </c>
      <c r="C15" s="5" t="s">
        <v>61</v>
      </c>
      <c r="D15" s="6">
        <f t="shared" si="0"/>
        <v>0.107</v>
      </c>
      <c r="F15" s="1" t="s">
        <v>165</v>
      </c>
      <c r="G15" s="1">
        <v>550</v>
      </c>
      <c r="H15" s="1" t="s">
        <v>22</v>
      </c>
      <c r="I15" s="1">
        <f>_xlfn.XLOOKUP(F15,$A$2:$A$113,$D$2:$D$113)</f>
        <v>0.2248</v>
      </c>
      <c r="J15" s="1">
        <f>I15*G15</f>
        <v>123.64</v>
      </c>
      <c r="L15" s="1" t="s">
        <v>41</v>
      </c>
      <c r="M15" s="1">
        <f>SUM(M11:M14)</f>
        <v>2970</v>
      </c>
      <c r="N15" s="1" t="s">
        <v>22</v>
      </c>
      <c r="O15" s="1"/>
      <c r="P15" s="1">
        <f>SUM(P11:P14)</f>
        <v>498.86500000000001</v>
      </c>
      <c r="R15" s="1" t="s">
        <v>26</v>
      </c>
      <c r="S15" s="1">
        <v>1000</v>
      </c>
      <c r="T15" s="1" t="s">
        <v>22</v>
      </c>
      <c r="U15" s="1">
        <f t="shared" ref="U15:U17" si="15">_xlfn.XLOOKUP(R15,$A$2:$A$113,$D$2:$D$113)</f>
        <v>1.315E-2</v>
      </c>
      <c r="V15" s="1">
        <f t="shared" ref="V15:V17" si="16">U15*S15</f>
        <v>13.15</v>
      </c>
      <c r="AD15" s="1" t="s">
        <v>43</v>
      </c>
      <c r="AE15" s="1"/>
      <c r="AF15" s="1"/>
      <c r="AG15" s="1"/>
      <c r="AH15" s="1">
        <f>AH14/AE14</f>
        <v>0.32900000000000001</v>
      </c>
      <c r="AJ15" s="119" t="s">
        <v>298</v>
      </c>
      <c r="AK15" s="119"/>
      <c r="AL15" s="119"/>
      <c r="AM15" s="119"/>
      <c r="AN15" s="119"/>
    </row>
    <row r="16" spans="1:40" x14ac:dyDescent="0.2">
      <c r="A16" s="1" t="s">
        <v>64</v>
      </c>
      <c r="B16" s="3">
        <v>37.9</v>
      </c>
      <c r="C16" s="5" t="s">
        <v>61</v>
      </c>
      <c r="D16" s="6">
        <f t="shared" si="0"/>
        <v>3.7899999999999996E-2</v>
      </c>
      <c r="F16" s="1" t="s">
        <v>168</v>
      </c>
      <c r="G16" s="1">
        <v>550</v>
      </c>
      <c r="H16" s="1" t="s">
        <v>22</v>
      </c>
      <c r="I16" s="1">
        <f t="shared" ref="I16:I18" si="17">_xlfn.XLOOKUP(F16,$A$2:$A$113,$D$2:$D$113)</f>
        <v>0.1414</v>
      </c>
      <c r="J16" s="1">
        <f t="shared" ref="J16:J18" si="18">I16*G16</f>
        <v>77.77</v>
      </c>
      <c r="L16" s="1" t="s">
        <v>43</v>
      </c>
      <c r="M16" s="1"/>
      <c r="N16" s="1"/>
      <c r="O16" s="1"/>
      <c r="P16" s="1">
        <f>P15/M15</f>
        <v>0.16796801346801346</v>
      </c>
      <c r="R16" s="1" t="s">
        <v>30</v>
      </c>
      <c r="S16" s="1">
        <v>20</v>
      </c>
      <c r="T16" s="1" t="s">
        <v>22</v>
      </c>
      <c r="U16" s="1">
        <f t="shared" si="15"/>
        <v>5.2500000000000003E-3</v>
      </c>
      <c r="V16" s="1">
        <f t="shared" si="16"/>
        <v>0.10500000000000001</v>
      </c>
      <c r="X16" s="112" t="s">
        <v>299</v>
      </c>
      <c r="Y16" s="112"/>
      <c r="Z16" s="112"/>
      <c r="AA16" s="112"/>
      <c r="AB16" s="112"/>
      <c r="AJ16" s="2" t="s">
        <v>66</v>
      </c>
      <c r="AK16" s="1">
        <v>300</v>
      </c>
      <c r="AL16" s="1" t="s">
        <v>22</v>
      </c>
      <c r="AM16" s="1">
        <f>_xlfn.XLOOKUP(AJ16,$A$2:$A$113,$D$2:$D$113)</f>
        <v>0.35599999999999998</v>
      </c>
      <c r="AN16" s="1">
        <f>AM16*AK16</f>
        <v>106.8</v>
      </c>
    </row>
    <row r="17" spans="1:40" x14ac:dyDescent="0.2">
      <c r="A17" s="1" t="s">
        <v>65</v>
      </c>
      <c r="B17" s="3">
        <v>29.7</v>
      </c>
      <c r="C17" s="5" t="s">
        <v>12</v>
      </c>
      <c r="D17" s="6">
        <f t="shared" si="0"/>
        <v>2.9700000000000001E-2</v>
      </c>
      <c r="F17" s="1" t="s">
        <v>26</v>
      </c>
      <c r="G17" s="1">
        <v>750</v>
      </c>
      <c r="H17" s="1" t="s">
        <v>22</v>
      </c>
      <c r="I17" s="1">
        <f t="shared" si="17"/>
        <v>1.315E-2</v>
      </c>
      <c r="J17" s="1">
        <f t="shared" si="18"/>
        <v>9.8625000000000007</v>
      </c>
      <c r="R17" s="2" t="s">
        <v>111</v>
      </c>
      <c r="S17" s="1">
        <v>450</v>
      </c>
      <c r="T17" s="1" t="s">
        <v>22</v>
      </c>
      <c r="U17" s="1">
        <f t="shared" si="15"/>
        <v>0.32980000000000004</v>
      </c>
      <c r="V17" s="1">
        <f t="shared" si="16"/>
        <v>148.41000000000003</v>
      </c>
      <c r="X17" s="2" t="s">
        <v>66</v>
      </c>
      <c r="Y17" s="1">
        <v>300</v>
      </c>
      <c r="Z17" s="1" t="s">
        <v>22</v>
      </c>
      <c r="AA17" s="1">
        <f>_xlfn.XLOOKUP(X17,$A$2:$A$113,$D$2:$D$113)</f>
        <v>0.35599999999999998</v>
      </c>
      <c r="AB17" s="1">
        <f>AA17*Y17</f>
        <v>106.8</v>
      </c>
      <c r="AD17" s="85" t="s">
        <v>300</v>
      </c>
      <c r="AE17" s="85"/>
      <c r="AF17" s="85"/>
      <c r="AG17" s="85"/>
      <c r="AH17" s="85"/>
      <c r="AJ17" s="1" t="s">
        <v>113</v>
      </c>
      <c r="AK17" s="1">
        <v>300</v>
      </c>
      <c r="AL17" s="1" t="s">
        <v>22</v>
      </c>
      <c r="AM17" s="1">
        <f t="shared" ref="AM17:AM18" si="19">_xlfn.XLOOKUP(AJ17,$A$2:$A$113,$D$2:$D$113)</f>
        <v>0.44550000000000001</v>
      </c>
      <c r="AN17" s="1">
        <f t="shared" ref="AN17:AN18" si="20">AM17*AK17</f>
        <v>133.65</v>
      </c>
    </row>
    <row r="18" spans="1:40" x14ac:dyDescent="0.2">
      <c r="A18" s="1" t="s">
        <v>69</v>
      </c>
      <c r="B18" s="3">
        <v>32.39</v>
      </c>
      <c r="C18" s="5" t="s">
        <v>12</v>
      </c>
      <c r="D18" s="6">
        <f t="shared" si="0"/>
        <v>3.2390000000000002E-2</v>
      </c>
      <c r="F18" s="1" t="s">
        <v>74</v>
      </c>
      <c r="G18" s="1">
        <v>50</v>
      </c>
      <c r="H18" s="1" t="s">
        <v>22</v>
      </c>
      <c r="I18" s="1">
        <f t="shared" si="17"/>
        <v>0.20663000000000001</v>
      </c>
      <c r="J18" s="1">
        <f t="shared" si="18"/>
        <v>10.3315</v>
      </c>
      <c r="L18" s="117" t="s">
        <v>301</v>
      </c>
      <c r="M18" s="117"/>
      <c r="N18" s="117"/>
      <c r="O18" s="117"/>
      <c r="P18" s="117"/>
      <c r="R18" s="1" t="s">
        <v>41</v>
      </c>
      <c r="S18" s="1">
        <f>SUM(S14:S17)</f>
        <v>2970</v>
      </c>
      <c r="T18" s="1" t="s">
        <v>22</v>
      </c>
      <c r="U18" s="1"/>
      <c r="V18" s="1">
        <f>SUM(V14:V17)</f>
        <v>558.94000000000005</v>
      </c>
      <c r="X18" s="1" t="s">
        <v>113</v>
      </c>
      <c r="Y18" s="1">
        <v>300</v>
      </c>
      <c r="Z18" s="1" t="s">
        <v>22</v>
      </c>
      <c r="AA18" s="1">
        <f t="shared" ref="AA18:AA20" si="21">_xlfn.XLOOKUP(X18,$A$2:$A$113,$D$2:$D$113)</f>
        <v>0.44550000000000001</v>
      </c>
      <c r="AB18" s="1">
        <f t="shared" ref="AB18:AB20" si="22">AA18*Y18</f>
        <v>133.65</v>
      </c>
      <c r="AD18" s="1" t="s">
        <v>302</v>
      </c>
      <c r="AE18" s="1">
        <v>2</v>
      </c>
      <c r="AF18" s="1" t="s">
        <v>22</v>
      </c>
      <c r="AG18" s="1">
        <v>0.32900000000000001</v>
      </c>
      <c r="AH18" s="1">
        <f>AG18*AE18</f>
        <v>0.65800000000000003</v>
      </c>
      <c r="AJ18" s="1" t="s">
        <v>203</v>
      </c>
      <c r="AK18" s="1">
        <v>7</v>
      </c>
      <c r="AL18" s="1" t="s">
        <v>22</v>
      </c>
      <c r="AM18" s="1">
        <f t="shared" si="19"/>
        <v>0.61199999999999999</v>
      </c>
      <c r="AN18" s="1">
        <f t="shared" si="20"/>
        <v>4.2839999999999998</v>
      </c>
    </row>
    <row r="19" spans="1:40" x14ac:dyDescent="0.2">
      <c r="A19" s="1" t="s">
        <v>71</v>
      </c>
      <c r="B19" s="3">
        <v>100.48</v>
      </c>
      <c r="C19" s="5" t="s">
        <v>12</v>
      </c>
      <c r="D19" s="6">
        <f t="shared" si="0"/>
        <v>0.10048</v>
      </c>
      <c r="F19" s="1" t="s">
        <v>41</v>
      </c>
      <c r="G19" s="1">
        <f>SUM(G15:G18)</f>
        <v>1900</v>
      </c>
      <c r="H19" s="1" t="s">
        <v>22</v>
      </c>
      <c r="I19" s="1"/>
      <c r="J19" s="1">
        <f>SUM(J15:J18)</f>
        <v>221.60400000000001</v>
      </c>
      <c r="L19" s="2" t="s">
        <v>66</v>
      </c>
      <c r="M19" s="1">
        <v>300</v>
      </c>
      <c r="N19" s="1" t="s">
        <v>22</v>
      </c>
      <c r="O19" s="1">
        <f>_xlfn.XLOOKUP(L19,$A$2:$A$113,$D$2:$D$113)</f>
        <v>0.35599999999999998</v>
      </c>
      <c r="P19" s="1">
        <f>O19*M19</f>
        <v>106.8</v>
      </c>
      <c r="R19" s="1" t="s">
        <v>43</v>
      </c>
      <c r="S19" s="1"/>
      <c r="T19" s="1"/>
      <c r="U19" s="1"/>
      <c r="V19" s="1">
        <f>V18/S18</f>
        <v>0.18819528619528622</v>
      </c>
      <c r="X19" s="1" t="s">
        <v>203</v>
      </c>
      <c r="Y19" s="1">
        <v>11</v>
      </c>
      <c r="Z19" s="1" t="s">
        <v>22</v>
      </c>
      <c r="AA19" s="1">
        <f t="shared" si="21"/>
        <v>0.61199999999999999</v>
      </c>
      <c r="AB19" s="1">
        <f t="shared" si="22"/>
        <v>6.7320000000000002</v>
      </c>
      <c r="AD19" s="1" t="s">
        <v>303</v>
      </c>
      <c r="AE19" s="1">
        <v>7.5</v>
      </c>
      <c r="AF19" s="1" t="s">
        <v>22</v>
      </c>
      <c r="AG19" s="1">
        <v>0.20039999999999999</v>
      </c>
      <c r="AH19" s="1">
        <f t="shared" ref="AH19" si="23">AG19*AE19</f>
        <v>1.5029999999999999</v>
      </c>
      <c r="AJ19" s="1" t="s">
        <v>41</v>
      </c>
      <c r="AK19" s="1">
        <f>SUM(AK16:AK18)</f>
        <v>607</v>
      </c>
      <c r="AL19" s="1" t="s">
        <v>22</v>
      </c>
      <c r="AM19" s="1"/>
      <c r="AN19" s="1">
        <f>SUM(AN16:AN18)</f>
        <v>244.73399999999998</v>
      </c>
    </row>
    <row r="20" spans="1:40" x14ac:dyDescent="0.2">
      <c r="A20" s="1" t="s">
        <v>75</v>
      </c>
      <c r="B20" s="3">
        <v>61.57</v>
      </c>
      <c r="C20" s="5" t="s">
        <v>12</v>
      </c>
      <c r="D20" s="6">
        <f t="shared" si="0"/>
        <v>6.157E-2</v>
      </c>
      <c r="F20" s="1" t="s">
        <v>43</v>
      </c>
      <c r="G20" s="1"/>
      <c r="H20" s="1"/>
      <c r="I20" s="1"/>
      <c r="J20" s="1">
        <f>J19/G19</f>
        <v>0.11663368421052632</v>
      </c>
      <c r="L20" s="1" t="s">
        <v>113</v>
      </c>
      <c r="M20" s="1">
        <v>300</v>
      </c>
      <c r="N20" s="1" t="s">
        <v>22</v>
      </c>
      <c r="O20" s="1">
        <f t="shared" ref="O20:O21" si="24">_xlfn.XLOOKUP(L20,$A$2:$A$113,$D$2:$D$113)</f>
        <v>0.44550000000000001</v>
      </c>
      <c r="P20" s="1">
        <f t="shared" ref="P20:P21" si="25">O20*M20</f>
        <v>133.65</v>
      </c>
      <c r="X20" s="2" t="s">
        <v>36</v>
      </c>
      <c r="Y20" s="1">
        <v>50</v>
      </c>
      <c r="Z20" s="1" t="s">
        <v>22</v>
      </c>
      <c r="AA20" s="1">
        <f t="shared" si="21"/>
        <v>0.32900000000000001</v>
      </c>
      <c r="AB20" s="1">
        <f t="shared" si="22"/>
        <v>16.45</v>
      </c>
      <c r="AD20" s="1" t="s">
        <v>41</v>
      </c>
      <c r="AE20" s="1"/>
      <c r="AF20" s="1"/>
      <c r="AG20" s="1"/>
      <c r="AH20" s="21">
        <f>SUM(AH18:AH19)</f>
        <v>2.161</v>
      </c>
      <c r="AJ20" s="1" t="s">
        <v>43</v>
      </c>
      <c r="AK20" s="1"/>
      <c r="AL20" s="1"/>
      <c r="AM20" s="1"/>
      <c r="AN20" s="1">
        <f>AN19/AK19</f>
        <v>0.40318616144975283</v>
      </c>
    </row>
    <row r="21" spans="1:40" x14ac:dyDescent="0.2">
      <c r="A21" s="1" t="s">
        <v>76</v>
      </c>
      <c r="B21" s="3">
        <v>81.03</v>
      </c>
      <c r="C21" s="5" t="s">
        <v>12</v>
      </c>
      <c r="D21" s="6">
        <f t="shared" si="0"/>
        <v>8.1030000000000005E-2</v>
      </c>
      <c r="L21" s="1" t="s">
        <v>203</v>
      </c>
      <c r="M21" s="1">
        <v>7</v>
      </c>
      <c r="N21" s="1" t="s">
        <v>22</v>
      </c>
      <c r="O21" s="1">
        <f t="shared" si="24"/>
        <v>0.61199999999999999</v>
      </c>
      <c r="P21" s="1">
        <f t="shared" si="25"/>
        <v>4.2839999999999998</v>
      </c>
      <c r="R21" s="111" t="s">
        <v>304</v>
      </c>
      <c r="S21" s="111"/>
      <c r="T21" s="111"/>
      <c r="U21" s="111"/>
      <c r="V21" s="111"/>
      <c r="X21" s="1" t="s">
        <v>41</v>
      </c>
      <c r="Y21" s="1">
        <f>SUM(Y17:Y20)</f>
        <v>661</v>
      </c>
      <c r="Z21" s="1" t="s">
        <v>22</v>
      </c>
      <c r="AA21" s="1"/>
      <c r="AB21" s="1">
        <f>SUM(AB17:AB20)</f>
        <v>263.63200000000001</v>
      </c>
    </row>
    <row r="22" spans="1:40" x14ac:dyDescent="0.2">
      <c r="A22" s="1" t="s">
        <v>77</v>
      </c>
      <c r="B22" s="3">
        <v>106.04</v>
      </c>
      <c r="C22" s="5" t="s">
        <v>12</v>
      </c>
      <c r="D22" s="6">
        <f t="shared" si="0"/>
        <v>0.10604000000000001</v>
      </c>
      <c r="F22" s="63" t="s">
        <v>305</v>
      </c>
      <c r="G22" s="63"/>
      <c r="H22" s="63"/>
      <c r="I22" s="63"/>
      <c r="J22" s="63"/>
      <c r="L22" s="1" t="s">
        <v>41</v>
      </c>
      <c r="M22" s="1">
        <f>SUM(M19:M21)</f>
        <v>607</v>
      </c>
      <c r="N22" s="1" t="s">
        <v>22</v>
      </c>
      <c r="O22" s="1"/>
      <c r="P22" s="1">
        <f>SUM(P19:P21)</f>
        <v>244.73399999999998</v>
      </c>
      <c r="R22" s="2" t="s">
        <v>66</v>
      </c>
      <c r="S22" s="1">
        <v>300</v>
      </c>
      <c r="T22" s="1" t="s">
        <v>22</v>
      </c>
      <c r="U22" s="1">
        <f>_xlfn.XLOOKUP(R22,$A$2:$A$113,$D$2:$D$113)</f>
        <v>0.35599999999999998</v>
      </c>
      <c r="V22" s="1">
        <f>U22*S22</f>
        <v>106.8</v>
      </c>
      <c r="X22" s="1" t="s">
        <v>43</v>
      </c>
      <c r="Y22" s="1"/>
      <c r="Z22" s="1"/>
      <c r="AA22" s="1"/>
      <c r="AB22" s="1">
        <f>AB21/Y21</f>
        <v>0.39883812405446295</v>
      </c>
      <c r="AD22" s="85" t="s">
        <v>127</v>
      </c>
      <c r="AE22" s="85"/>
      <c r="AF22" s="85"/>
      <c r="AG22" s="85"/>
      <c r="AH22" s="85"/>
      <c r="AJ22" s="120" t="s">
        <v>67</v>
      </c>
      <c r="AK22" s="121"/>
      <c r="AL22" s="121"/>
      <c r="AM22" s="121"/>
      <c r="AN22" s="122"/>
    </row>
    <row r="23" spans="1:40" x14ac:dyDescent="0.2">
      <c r="A23" s="1" t="s">
        <v>80</v>
      </c>
      <c r="B23" s="3">
        <v>89</v>
      </c>
      <c r="C23" s="5" t="s">
        <v>12</v>
      </c>
      <c r="D23" s="6">
        <f t="shared" si="0"/>
        <v>8.8999999999999996E-2</v>
      </c>
      <c r="F23" s="2" t="s">
        <v>36</v>
      </c>
      <c r="G23" s="1">
        <v>300</v>
      </c>
      <c r="H23" s="1" t="s">
        <v>22</v>
      </c>
      <c r="I23" s="1">
        <f>_xlfn.XLOOKUP(F23,$A$2:$A$113,$D$2:$D$113)</f>
        <v>0.32900000000000001</v>
      </c>
      <c r="J23" s="1">
        <f>I23*G23</f>
        <v>98.7</v>
      </c>
      <c r="L23" s="1" t="s">
        <v>43</v>
      </c>
      <c r="M23" s="1"/>
      <c r="N23" s="1"/>
      <c r="O23" s="1"/>
      <c r="P23" s="1">
        <f>P22/M22</f>
        <v>0.40318616144975283</v>
      </c>
      <c r="R23" s="1" t="s">
        <v>113</v>
      </c>
      <c r="S23" s="1">
        <v>300</v>
      </c>
      <c r="T23" s="1" t="s">
        <v>22</v>
      </c>
      <c r="U23" s="1">
        <f t="shared" ref="U23:U24" si="26">_xlfn.XLOOKUP(R23,$A$2:$A$113,$D$2:$D$113)</f>
        <v>0.44550000000000001</v>
      </c>
      <c r="V23" s="1">
        <f t="shared" ref="V23:V24" si="27">U23*S23</f>
        <v>133.65</v>
      </c>
      <c r="AD23" s="1" t="s">
        <v>725</v>
      </c>
      <c r="AE23" s="1">
        <v>30</v>
      </c>
      <c r="AF23" s="1" t="s">
        <v>129</v>
      </c>
      <c r="AG23" s="55" t="s">
        <v>323</v>
      </c>
      <c r="AH23" s="56"/>
      <c r="AJ23" s="1" t="s">
        <v>26</v>
      </c>
      <c r="AK23" s="1">
        <v>1300</v>
      </c>
      <c r="AL23" s="1" t="s">
        <v>22</v>
      </c>
      <c r="AM23" s="1">
        <f>_xlfn.XLOOKUP(AJ23,$A$2:$A$114,$D$2:$D$114)</f>
        <v>1.315E-2</v>
      </c>
      <c r="AN23" s="17">
        <f>AK23*AM23</f>
        <v>17.094999999999999</v>
      </c>
    </row>
    <row r="24" spans="1:40" x14ac:dyDescent="0.2">
      <c r="A24" s="1" t="s">
        <v>85</v>
      </c>
      <c r="B24" s="3">
        <v>26.5</v>
      </c>
      <c r="C24" s="5" t="s">
        <v>12</v>
      </c>
      <c r="D24" s="6">
        <f t="shared" si="0"/>
        <v>2.6499999999999999E-2</v>
      </c>
      <c r="F24" s="1" t="s">
        <v>113</v>
      </c>
      <c r="G24" s="1">
        <v>300</v>
      </c>
      <c r="H24" s="1" t="s">
        <v>22</v>
      </c>
      <c r="I24" s="1">
        <f t="shared" ref="I24:I25" si="28">_xlfn.XLOOKUP(F24,$A$2:$A$113,$D$2:$D$113)</f>
        <v>0.44550000000000001</v>
      </c>
      <c r="J24" s="1">
        <f t="shared" ref="J24:J25" si="29">I24*G24</f>
        <v>133.65</v>
      </c>
      <c r="R24" s="1" t="s">
        <v>203</v>
      </c>
      <c r="S24" s="1">
        <v>7</v>
      </c>
      <c r="T24" s="1" t="s">
        <v>22</v>
      </c>
      <c r="U24" s="1">
        <f t="shared" si="26"/>
        <v>0.61199999999999999</v>
      </c>
      <c r="V24" s="1">
        <f t="shared" si="27"/>
        <v>4.2839999999999998</v>
      </c>
      <c r="X24" s="112" t="s">
        <v>294</v>
      </c>
      <c r="Y24" s="112"/>
      <c r="Z24" s="112"/>
      <c r="AA24" s="112"/>
      <c r="AB24" s="112"/>
      <c r="AD24" s="1" t="s">
        <v>324</v>
      </c>
      <c r="AE24" s="1">
        <v>170</v>
      </c>
      <c r="AF24" s="1" t="s">
        <v>129</v>
      </c>
      <c r="AG24" s="55">
        <v>630</v>
      </c>
      <c r="AH24" s="56"/>
      <c r="AJ24" s="1" t="s">
        <v>29</v>
      </c>
      <c r="AK24" s="1">
        <v>350</v>
      </c>
      <c r="AL24" s="1" t="s">
        <v>22</v>
      </c>
      <c r="AM24" s="1">
        <f t="shared" ref="AM24:AM28" si="30">_xlfn.XLOOKUP(AJ24,$A$2:$A$114,$D$2:$D$114)</f>
        <v>8.1000000000000003E-2</v>
      </c>
      <c r="AN24" s="17">
        <f t="shared" ref="AN24:AN28" si="31">AK24*AM24</f>
        <v>28.35</v>
      </c>
    </row>
    <row r="25" spans="1:40" x14ac:dyDescent="0.2">
      <c r="A25" s="1" t="s">
        <v>89</v>
      </c>
      <c r="B25" s="3">
        <v>15.75</v>
      </c>
      <c r="C25" s="5" t="s">
        <v>12</v>
      </c>
      <c r="D25" s="6">
        <f t="shared" si="0"/>
        <v>1.575E-2</v>
      </c>
      <c r="F25" s="1" t="s">
        <v>203</v>
      </c>
      <c r="G25" s="1">
        <v>6</v>
      </c>
      <c r="H25" s="1" t="s">
        <v>22</v>
      </c>
      <c r="I25" s="1">
        <f t="shared" si="28"/>
        <v>0.61199999999999999</v>
      </c>
      <c r="J25" s="1">
        <f t="shared" si="29"/>
        <v>3.6719999999999997</v>
      </c>
      <c r="L25" s="117" t="s">
        <v>306</v>
      </c>
      <c r="M25" s="117"/>
      <c r="N25" s="117"/>
      <c r="O25" s="117"/>
      <c r="P25" s="117"/>
      <c r="R25" s="1" t="s">
        <v>41</v>
      </c>
      <c r="S25" s="1">
        <f>SUM(S22:S24)</f>
        <v>607</v>
      </c>
      <c r="T25" s="1" t="s">
        <v>22</v>
      </c>
      <c r="U25" s="1"/>
      <c r="V25" s="1">
        <f>SUM(V22:V24)</f>
        <v>244.73399999999998</v>
      </c>
      <c r="X25" s="2" t="s">
        <v>36</v>
      </c>
      <c r="Y25" s="1">
        <v>1000</v>
      </c>
      <c r="Z25" s="1" t="s">
        <v>22</v>
      </c>
      <c r="AA25" s="1">
        <f>_xlfn.XLOOKUP(X25,$A$2:$A$112,$D$2:$D$112)</f>
        <v>0.32900000000000001</v>
      </c>
      <c r="AB25" s="1">
        <f>AA25*Y25</f>
        <v>329</v>
      </c>
      <c r="AD25" s="1" t="s">
        <v>325</v>
      </c>
      <c r="AE25" s="1">
        <v>45</v>
      </c>
      <c r="AF25" s="1" t="s">
        <v>129</v>
      </c>
      <c r="AG25" s="55">
        <v>630</v>
      </c>
      <c r="AH25" s="56"/>
      <c r="AJ25" s="1" t="s">
        <v>23</v>
      </c>
      <c r="AK25" s="1">
        <v>260</v>
      </c>
      <c r="AL25" s="1" t="s">
        <v>22</v>
      </c>
      <c r="AM25" s="1">
        <f t="shared" si="30"/>
        <v>0</v>
      </c>
      <c r="AN25" s="17">
        <f t="shared" si="31"/>
        <v>0</v>
      </c>
    </row>
    <row r="26" spans="1:40" x14ac:dyDescent="0.2">
      <c r="A26" s="1" t="s">
        <v>91</v>
      </c>
      <c r="B26" s="3">
        <v>49.85</v>
      </c>
      <c r="C26" s="5" t="s">
        <v>12</v>
      </c>
      <c r="D26" s="6">
        <f t="shared" si="0"/>
        <v>4.9849999999999998E-2</v>
      </c>
      <c r="F26" s="1" t="s">
        <v>41</v>
      </c>
      <c r="G26" s="1">
        <f>SUM(G23:G25)</f>
        <v>606</v>
      </c>
      <c r="H26" s="1" t="s">
        <v>22</v>
      </c>
      <c r="I26" s="1"/>
      <c r="J26" s="1">
        <f>SUM(J23:J25)</f>
        <v>236.02200000000002</v>
      </c>
      <c r="L26" s="2" t="s">
        <v>111</v>
      </c>
      <c r="M26" s="1">
        <v>1000</v>
      </c>
      <c r="N26" s="1" t="s">
        <v>22</v>
      </c>
      <c r="O26" s="1">
        <f>_xlfn.XLOOKUP(L26,$A$2:$A$112,$D$2:$D$112)</f>
        <v>0.32980000000000004</v>
      </c>
      <c r="P26" s="1">
        <f>O26*M26</f>
        <v>329.8</v>
      </c>
      <c r="R26" s="1" t="s">
        <v>43</v>
      </c>
      <c r="S26" s="1"/>
      <c r="T26" s="1"/>
      <c r="U26" s="1"/>
      <c r="V26" s="1">
        <f>V25/S25</f>
        <v>0.40318616144975283</v>
      </c>
      <c r="X26" s="1" t="s">
        <v>41</v>
      </c>
      <c r="Y26" s="1">
        <f>SUM(Y25:Y25)</f>
        <v>1000</v>
      </c>
      <c r="Z26" s="1" t="s">
        <v>22</v>
      </c>
      <c r="AA26" s="1"/>
      <c r="AB26" s="1">
        <f>SUM(AB25:AB25)</f>
        <v>329</v>
      </c>
      <c r="AD26" s="1" t="s">
        <v>326</v>
      </c>
      <c r="AE26" s="1">
        <v>35</v>
      </c>
      <c r="AF26" s="1" t="s">
        <v>129</v>
      </c>
      <c r="AG26" s="55">
        <v>630</v>
      </c>
      <c r="AH26" s="56"/>
      <c r="AJ26" s="1" t="s">
        <v>39</v>
      </c>
      <c r="AK26" s="1">
        <v>780</v>
      </c>
      <c r="AL26" s="1" t="s">
        <v>22</v>
      </c>
      <c r="AM26" s="1">
        <f t="shared" si="30"/>
        <v>5.6149999999999999E-2</v>
      </c>
      <c r="AN26" s="17">
        <f t="shared" si="31"/>
        <v>43.796999999999997</v>
      </c>
    </row>
    <row r="27" spans="1:40" x14ac:dyDescent="0.2">
      <c r="A27" s="1" t="s">
        <v>93</v>
      </c>
      <c r="B27" s="3">
        <v>36.75</v>
      </c>
      <c r="C27" s="5" t="s">
        <v>12</v>
      </c>
      <c r="D27" s="6">
        <f t="shared" si="0"/>
        <v>3.6749999999999998E-2</v>
      </c>
      <c r="F27" s="1" t="s">
        <v>43</v>
      </c>
      <c r="G27" s="1"/>
      <c r="H27" s="1"/>
      <c r="I27" s="1"/>
      <c r="J27" s="1">
        <f>J26/G26</f>
        <v>0.38947524752475249</v>
      </c>
      <c r="L27" s="1" t="s">
        <v>41</v>
      </c>
      <c r="M27" s="1">
        <f>SUM(M26:M26)</f>
        <v>1000</v>
      </c>
      <c r="N27" s="1" t="s">
        <v>22</v>
      </c>
      <c r="O27" s="1"/>
      <c r="P27" s="1">
        <f>SUM(P26:P26)</f>
        <v>329.8</v>
      </c>
      <c r="X27" s="1" t="s">
        <v>43</v>
      </c>
      <c r="Y27" s="1"/>
      <c r="Z27" s="1"/>
      <c r="AA27" s="1"/>
      <c r="AB27" s="1">
        <f>AB26/Y26</f>
        <v>0.32900000000000001</v>
      </c>
      <c r="AD27" s="1" t="s">
        <v>327</v>
      </c>
      <c r="AE27" s="1">
        <v>50</v>
      </c>
      <c r="AF27" s="1" t="s">
        <v>129</v>
      </c>
      <c r="AG27" s="55">
        <v>630</v>
      </c>
      <c r="AH27" s="56"/>
      <c r="AJ27" s="8" t="s">
        <v>24</v>
      </c>
      <c r="AK27" s="8">
        <v>780</v>
      </c>
      <c r="AL27" s="8" t="s">
        <v>22</v>
      </c>
      <c r="AM27" s="1">
        <f t="shared" si="30"/>
        <v>7.6060000000000003E-2</v>
      </c>
      <c r="AN27" s="18">
        <f t="shared" si="31"/>
        <v>59.326799999999999</v>
      </c>
    </row>
    <row r="28" spans="1:40" x14ac:dyDescent="0.2">
      <c r="A28" s="1" t="s">
        <v>95</v>
      </c>
      <c r="B28" s="3">
        <v>98.75</v>
      </c>
      <c r="C28" s="5" t="s">
        <v>12</v>
      </c>
      <c r="D28" s="6">
        <f t="shared" si="0"/>
        <v>9.8750000000000004E-2</v>
      </c>
      <c r="L28" s="1" t="s">
        <v>43</v>
      </c>
      <c r="M28" s="1"/>
      <c r="N28" s="1"/>
      <c r="O28" s="1"/>
      <c r="P28" s="1">
        <f>P27/M27</f>
        <v>0.32980000000000004</v>
      </c>
      <c r="R28" s="111" t="s">
        <v>306</v>
      </c>
      <c r="S28" s="111"/>
      <c r="T28" s="111"/>
      <c r="U28" s="111"/>
      <c r="V28" s="111"/>
      <c r="AD28" s="1" t="s">
        <v>328</v>
      </c>
      <c r="AE28" s="1">
        <v>60</v>
      </c>
      <c r="AF28" s="1" t="s">
        <v>129</v>
      </c>
      <c r="AG28" s="55">
        <v>822</v>
      </c>
      <c r="AH28" s="56"/>
      <c r="AJ28" s="1" t="s">
        <v>30</v>
      </c>
      <c r="AK28" s="1">
        <v>13</v>
      </c>
      <c r="AL28" s="8" t="s">
        <v>22</v>
      </c>
      <c r="AM28" s="1">
        <f t="shared" si="30"/>
        <v>5.2500000000000003E-3</v>
      </c>
      <c r="AN28" s="18">
        <f t="shared" si="31"/>
        <v>6.8250000000000005E-2</v>
      </c>
    </row>
    <row r="29" spans="1:40" x14ac:dyDescent="0.2">
      <c r="A29" s="1" t="s">
        <v>96</v>
      </c>
      <c r="B29" s="3">
        <v>498</v>
      </c>
      <c r="C29" s="5" t="s">
        <v>97</v>
      </c>
      <c r="D29" s="7">
        <f t="shared" si="0"/>
        <v>0.498</v>
      </c>
      <c r="F29" s="63" t="s">
        <v>294</v>
      </c>
      <c r="G29" s="63"/>
      <c r="H29" s="63"/>
      <c r="I29" s="63"/>
      <c r="J29" s="63"/>
      <c r="R29" s="2" t="s">
        <v>111</v>
      </c>
      <c r="S29" s="1">
        <v>1000</v>
      </c>
      <c r="T29" s="1" t="s">
        <v>22</v>
      </c>
      <c r="U29" s="1">
        <f>_xlfn.XLOOKUP(R29,$A$2:$A$112,$D$2:$D$112)</f>
        <v>0.32980000000000004</v>
      </c>
      <c r="V29" s="1">
        <f>U29*S29</f>
        <v>329.8</v>
      </c>
      <c r="X29" s="112" t="s">
        <v>307</v>
      </c>
      <c r="Y29" s="112"/>
      <c r="Z29" s="112"/>
      <c r="AA29" s="112"/>
      <c r="AB29" s="112"/>
      <c r="AD29" s="1" t="s">
        <v>237</v>
      </c>
      <c r="AE29" s="1">
        <f>SUM(AE23:AE28)</f>
        <v>390</v>
      </c>
      <c r="AF29" s="1" t="s">
        <v>129</v>
      </c>
      <c r="AG29" s="55">
        <v>630</v>
      </c>
      <c r="AH29" s="56"/>
      <c r="AJ29" s="1" t="s">
        <v>41</v>
      </c>
      <c r="AK29" s="1">
        <f>SUM(AK23:AK28)</f>
        <v>3483</v>
      </c>
      <c r="AL29" s="1" t="s">
        <v>22</v>
      </c>
      <c r="AM29" s="1"/>
      <c r="AN29" s="17">
        <f>SUM(AN23:AN28)</f>
        <v>148.63704999999999</v>
      </c>
    </row>
    <row r="30" spans="1:40" x14ac:dyDescent="0.2">
      <c r="A30" s="1" t="s">
        <v>38</v>
      </c>
      <c r="B30" s="3">
        <v>385</v>
      </c>
      <c r="C30" s="5" t="s">
        <v>12</v>
      </c>
      <c r="D30" s="6">
        <f t="shared" si="0"/>
        <v>0.38500000000000001</v>
      </c>
      <c r="F30" s="2" t="s">
        <v>36</v>
      </c>
      <c r="G30" s="1">
        <v>1000</v>
      </c>
      <c r="H30" s="1" t="s">
        <v>22</v>
      </c>
      <c r="I30" s="1">
        <f>_xlfn.XLOOKUP(F30,$A$2:$A$112,$D$2:$D$112)</f>
        <v>0.32900000000000001</v>
      </c>
      <c r="J30" s="1">
        <f>I30*G30</f>
        <v>329</v>
      </c>
      <c r="L30" s="117" t="s">
        <v>308</v>
      </c>
      <c r="M30" s="117"/>
      <c r="N30" s="117"/>
      <c r="O30" s="117"/>
      <c r="P30" s="117"/>
      <c r="R30" s="1" t="s">
        <v>41</v>
      </c>
      <c r="S30" s="1">
        <f>SUM(S29:S29)</f>
        <v>1000</v>
      </c>
      <c r="T30" s="1" t="s">
        <v>22</v>
      </c>
      <c r="U30" s="1"/>
      <c r="V30" s="1">
        <f>SUM(V29:V29)</f>
        <v>329.8</v>
      </c>
      <c r="X30" s="1" t="s">
        <v>302</v>
      </c>
      <c r="Y30" s="1">
        <v>1.5</v>
      </c>
      <c r="Z30" s="1" t="s">
        <v>22</v>
      </c>
      <c r="AA30" s="1">
        <v>0.32900000000000001</v>
      </c>
      <c r="AB30" s="1">
        <f>AA30*Y30</f>
        <v>0.49350000000000005</v>
      </c>
      <c r="AD30" s="33" t="s">
        <v>240</v>
      </c>
      <c r="AE30" s="35">
        <f>AE29/AG29</f>
        <v>0.61904761904761907</v>
      </c>
      <c r="AF30" s="33" t="s">
        <v>129</v>
      </c>
      <c r="AG30" s="57" t="s">
        <v>330</v>
      </c>
      <c r="AH30" s="58"/>
      <c r="AJ30" s="1" t="s">
        <v>43</v>
      </c>
      <c r="AK30" s="1"/>
      <c r="AL30" s="1"/>
      <c r="AM30" s="1"/>
      <c r="AN30" s="1">
        <f>AN29/AK29</f>
        <v>4.2675007177720353E-2</v>
      </c>
    </row>
    <row r="31" spans="1:40" x14ac:dyDescent="0.2">
      <c r="A31" s="1" t="s">
        <v>100</v>
      </c>
      <c r="B31" s="3">
        <v>247.35</v>
      </c>
      <c r="C31" s="5" t="s">
        <v>12</v>
      </c>
      <c r="D31" s="6">
        <f t="shared" si="0"/>
        <v>0.24734999999999999</v>
      </c>
      <c r="F31" s="1" t="s">
        <v>41</v>
      </c>
      <c r="G31" s="1">
        <f>SUM(G30:G30)</f>
        <v>1000</v>
      </c>
      <c r="H31" s="1" t="s">
        <v>22</v>
      </c>
      <c r="I31" s="1"/>
      <c r="J31" s="1">
        <f>SUM(J30:J30)</f>
        <v>329</v>
      </c>
      <c r="L31" s="1" t="s">
        <v>309</v>
      </c>
      <c r="M31" s="1">
        <v>2</v>
      </c>
      <c r="N31" s="1" t="s">
        <v>22</v>
      </c>
      <c r="O31" s="1">
        <v>0.32900000000000001</v>
      </c>
      <c r="P31" s="1">
        <f>O31*M31</f>
        <v>0.65800000000000003</v>
      </c>
      <c r="R31" s="1" t="s">
        <v>43</v>
      </c>
      <c r="S31" s="1"/>
      <c r="T31" s="1"/>
      <c r="U31" s="1"/>
      <c r="V31" s="1">
        <f>V30/S30</f>
        <v>0.32980000000000004</v>
      </c>
      <c r="X31" s="1" t="s">
        <v>310</v>
      </c>
      <c r="Y31" s="1">
        <v>7.5</v>
      </c>
      <c r="Z31" s="1" t="s">
        <v>22</v>
      </c>
      <c r="AA31" s="1">
        <v>0.17377999999999999</v>
      </c>
      <c r="AB31" s="1">
        <f t="shared" ref="AB31:AB32" si="32">AA31*Y31</f>
        <v>1.30335</v>
      </c>
    </row>
    <row r="32" spans="1:40" x14ac:dyDescent="0.2">
      <c r="A32" s="1" t="s">
        <v>104</v>
      </c>
      <c r="B32" s="3">
        <v>298.3</v>
      </c>
      <c r="C32" s="5" t="s">
        <v>12</v>
      </c>
      <c r="D32" s="6">
        <f t="shared" si="0"/>
        <v>0.29830000000000001</v>
      </c>
      <c r="F32" s="1" t="s">
        <v>43</v>
      </c>
      <c r="G32" s="1"/>
      <c r="H32" s="1"/>
      <c r="I32" s="1"/>
      <c r="J32" s="1">
        <f>J31/G31</f>
        <v>0.32900000000000001</v>
      </c>
      <c r="L32" s="1" t="s">
        <v>311</v>
      </c>
      <c r="M32" s="1">
        <v>3</v>
      </c>
      <c r="N32" s="1" t="s">
        <v>22</v>
      </c>
      <c r="O32" s="1">
        <v>0.16753999999999999</v>
      </c>
      <c r="P32" s="1">
        <f t="shared" ref="P32:P34" si="33">O32*M32</f>
        <v>0.50261999999999996</v>
      </c>
      <c r="X32" s="1" t="s">
        <v>312</v>
      </c>
      <c r="Y32" s="1">
        <v>0.5</v>
      </c>
      <c r="Z32" s="1" t="s">
        <v>22</v>
      </c>
      <c r="AA32" s="1">
        <v>0.39879999999999999</v>
      </c>
      <c r="AB32" s="1">
        <f t="shared" si="32"/>
        <v>0.19939999999999999</v>
      </c>
      <c r="AD32" s="1" t="s">
        <v>503</v>
      </c>
      <c r="AE32" s="1">
        <v>375</v>
      </c>
      <c r="AF32" s="1" t="s">
        <v>494</v>
      </c>
      <c r="AG32" s="1">
        <f>AE32/60</f>
        <v>6.25</v>
      </c>
      <c r="AH32" s="1" t="s">
        <v>129</v>
      </c>
      <c r="AJ32" s="119" t="s">
        <v>306</v>
      </c>
      <c r="AK32" s="119"/>
      <c r="AL32" s="119"/>
      <c r="AM32" s="119"/>
      <c r="AN32" s="119"/>
    </row>
    <row r="33" spans="1:40" x14ac:dyDescent="0.2">
      <c r="A33" s="1" t="s">
        <v>48</v>
      </c>
      <c r="B33" s="3">
        <v>281.25</v>
      </c>
      <c r="C33" s="5" t="s">
        <v>12</v>
      </c>
      <c r="D33" s="6">
        <f t="shared" si="0"/>
        <v>0.28125</v>
      </c>
      <c r="L33" s="1" t="s">
        <v>313</v>
      </c>
      <c r="M33" s="1">
        <v>4.5</v>
      </c>
      <c r="N33" s="1" t="s">
        <v>22</v>
      </c>
      <c r="O33" s="1">
        <v>0.11663</v>
      </c>
      <c r="P33" s="1">
        <f t="shared" si="33"/>
        <v>0.52483499999999994</v>
      </c>
      <c r="R33" s="111" t="s">
        <v>282</v>
      </c>
      <c r="S33" s="111"/>
      <c r="T33" s="111"/>
      <c r="U33" s="111"/>
      <c r="V33" s="111"/>
      <c r="X33" s="1" t="s">
        <v>41</v>
      </c>
      <c r="Y33" s="1"/>
      <c r="Z33" s="1"/>
      <c r="AA33" s="1"/>
      <c r="AB33" s="21">
        <f>SUM(AB30:AB32)</f>
        <v>1.9962500000000001</v>
      </c>
      <c r="AJ33" s="2" t="s">
        <v>111</v>
      </c>
      <c r="AK33" s="1">
        <v>1000</v>
      </c>
      <c r="AL33" s="1" t="s">
        <v>22</v>
      </c>
      <c r="AM33" s="1">
        <f>_xlfn.XLOOKUP(AJ33,$A$2:$A$112,$D$2:$D$112)</f>
        <v>0.32980000000000004</v>
      </c>
      <c r="AN33" s="1">
        <f>AM33*AK33</f>
        <v>329.8</v>
      </c>
    </row>
    <row r="34" spans="1:40" x14ac:dyDescent="0.2">
      <c r="A34" s="1" t="s">
        <v>105</v>
      </c>
      <c r="B34" s="3">
        <v>299.16000000000003</v>
      </c>
      <c r="C34" s="5" t="s">
        <v>12</v>
      </c>
      <c r="D34" s="6">
        <f t="shared" si="0"/>
        <v>0.29916000000000004</v>
      </c>
      <c r="F34" s="63" t="s">
        <v>314</v>
      </c>
      <c r="G34" s="63"/>
      <c r="H34" s="63"/>
      <c r="I34" s="63"/>
      <c r="J34" s="63"/>
      <c r="L34" s="1" t="s">
        <v>315</v>
      </c>
      <c r="M34" s="1">
        <v>0.5</v>
      </c>
      <c r="N34" s="1" t="s">
        <v>22</v>
      </c>
      <c r="O34" s="1">
        <v>0.38947999999999999</v>
      </c>
      <c r="P34" s="1">
        <f t="shared" si="33"/>
        <v>0.19474</v>
      </c>
      <c r="R34" s="1" t="s">
        <v>309</v>
      </c>
      <c r="S34" s="1">
        <v>2</v>
      </c>
      <c r="T34" s="1" t="s">
        <v>22</v>
      </c>
      <c r="U34" s="1">
        <v>0.32979999999999998</v>
      </c>
      <c r="V34" s="1">
        <f>U34*S34</f>
        <v>0.65959999999999996</v>
      </c>
      <c r="AD34" s="82" t="s">
        <v>284</v>
      </c>
      <c r="AE34" s="84"/>
      <c r="AJ34" s="1" t="s">
        <v>41</v>
      </c>
      <c r="AK34" s="1">
        <f>SUM(AK33:AK33)</f>
        <v>1000</v>
      </c>
      <c r="AL34" s="1" t="s">
        <v>22</v>
      </c>
      <c r="AM34" s="1"/>
      <c r="AN34" s="1">
        <f>SUM(AN33:AN33)</f>
        <v>329.8</v>
      </c>
    </row>
    <row r="35" spans="1:40" ht="27.75" x14ac:dyDescent="0.2">
      <c r="A35" s="2" t="s">
        <v>106</v>
      </c>
      <c r="B35" s="3">
        <v>432.5</v>
      </c>
      <c r="C35" s="5" t="s">
        <v>12</v>
      </c>
      <c r="D35" s="6">
        <f t="shared" si="0"/>
        <v>0.4325</v>
      </c>
      <c r="F35" s="1" t="s">
        <v>302</v>
      </c>
      <c r="G35" s="1">
        <v>1.5</v>
      </c>
      <c r="H35" s="1" t="s">
        <v>22</v>
      </c>
      <c r="I35" s="1">
        <v>0.32900000000000001</v>
      </c>
      <c r="J35" s="1">
        <f>I35*G35</f>
        <v>0.49350000000000005</v>
      </c>
      <c r="L35" s="1" t="s">
        <v>41</v>
      </c>
      <c r="M35" s="1"/>
      <c r="N35" s="1"/>
      <c r="O35" s="1"/>
      <c r="P35" s="21">
        <f>SUM(P31:P34)</f>
        <v>1.8801949999999998</v>
      </c>
      <c r="R35" s="1" t="s">
        <v>288</v>
      </c>
      <c r="S35" s="1">
        <v>4.5</v>
      </c>
      <c r="T35" s="1" t="s">
        <v>22</v>
      </c>
      <c r="U35" s="1">
        <v>9.1259999999999994E-2</v>
      </c>
      <c r="V35" s="1">
        <f t="shared" ref="V35:V37" si="34">U35*S35</f>
        <v>0.41066999999999998</v>
      </c>
      <c r="X35" s="125" t="s">
        <v>127</v>
      </c>
      <c r="Y35" s="125"/>
      <c r="Z35" s="125"/>
      <c r="AA35" s="125"/>
      <c r="AB35" s="125"/>
      <c r="AD35" s="43" t="s">
        <v>415</v>
      </c>
      <c r="AE35" s="43">
        <f>AH20</f>
        <v>2.161</v>
      </c>
      <c r="AJ35" s="1" t="s">
        <v>43</v>
      </c>
      <c r="AK35" s="1"/>
      <c r="AL35" s="1"/>
      <c r="AM35" s="1"/>
      <c r="AN35" s="1">
        <f>AN34/AK34</f>
        <v>0.32980000000000004</v>
      </c>
    </row>
    <row r="36" spans="1:40" x14ac:dyDescent="0.2">
      <c r="A36" s="2" t="s">
        <v>107</v>
      </c>
      <c r="B36" s="3">
        <v>317</v>
      </c>
      <c r="C36" s="5" t="s">
        <v>12</v>
      </c>
      <c r="D36" s="6">
        <f t="shared" si="0"/>
        <v>0.317</v>
      </c>
      <c r="F36" s="1" t="s">
        <v>286</v>
      </c>
      <c r="G36" s="1">
        <v>4.5</v>
      </c>
      <c r="H36" s="1" t="s">
        <v>22</v>
      </c>
      <c r="I36" s="1">
        <v>0.16753999999999999</v>
      </c>
      <c r="J36" s="1">
        <f t="shared" ref="J36:J48" si="35">I36*G36</f>
        <v>0.75392999999999999</v>
      </c>
      <c r="R36" s="1" t="s">
        <v>316</v>
      </c>
      <c r="S36" s="1">
        <v>3</v>
      </c>
      <c r="T36" s="1" t="s">
        <v>22</v>
      </c>
      <c r="U36" s="1">
        <v>0.18820000000000001</v>
      </c>
      <c r="V36" s="1">
        <f t="shared" si="34"/>
        <v>0.56459999999999999</v>
      </c>
      <c r="X36" s="1" t="s">
        <v>724</v>
      </c>
      <c r="Y36" s="1">
        <v>30</v>
      </c>
      <c r="Z36" s="1" t="s">
        <v>129</v>
      </c>
      <c r="AA36" s="55" t="s">
        <v>322</v>
      </c>
      <c r="AB36" s="56"/>
      <c r="AD36" s="1" t="s">
        <v>496</v>
      </c>
      <c r="AE36" s="1">
        <f>AE30*AG32</f>
        <v>3.8690476190476191</v>
      </c>
    </row>
    <row r="37" spans="1:40" x14ac:dyDescent="0.2">
      <c r="A37" s="2" t="s">
        <v>66</v>
      </c>
      <c r="B37" s="3">
        <v>356</v>
      </c>
      <c r="C37" s="5" t="s">
        <v>12</v>
      </c>
      <c r="D37" s="6">
        <f t="shared" si="0"/>
        <v>0.35599999999999998</v>
      </c>
      <c r="F37" s="1" t="s">
        <v>317</v>
      </c>
      <c r="G37" s="1">
        <v>3</v>
      </c>
      <c r="H37" s="1" t="s">
        <v>22</v>
      </c>
      <c r="I37" s="1">
        <v>0.11663</v>
      </c>
      <c r="J37" s="1">
        <f t="shared" si="35"/>
        <v>0.34988999999999998</v>
      </c>
      <c r="L37" s="123" t="s">
        <v>127</v>
      </c>
      <c r="M37" s="123"/>
      <c r="N37" s="123"/>
      <c r="O37" s="123"/>
      <c r="P37" s="123"/>
      <c r="R37" s="1" t="s">
        <v>318</v>
      </c>
      <c r="S37" s="1">
        <v>0.5</v>
      </c>
      <c r="T37" s="1" t="s">
        <v>22</v>
      </c>
      <c r="U37" s="1">
        <v>0.40318999999999999</v>
      </c>
      <c r="V37" s="1">
        <f t="shared" si="34"/>
        <v>0.201595</v>
      </c>
      <c r="X37" s="1" t="s">
        <v>324</v>
      </c>
      <c r="Y37" s="1">
        <v>170</v>
      </c>
      <c r="Z37" s="1" t="s">
        <v>129</v>
      </c>
      <c r="AA37" s="55">
        <v>630</v>
      </c>
      <c r="AB37" s="56"/>
      <c r="AD37" s="33" t="s">
        <v>679</v>
      </c>
      <c r="AE37" s="21">
        <f>SUM(AE35:AE36)</f>
        <v>6.0300476190476191</v>
      </c>
      <c r="AJ37" s="119" t="s">
        <v>319</v>
      </c>
      <c r="AK37" s="119"/>
      <c r="AL37" s="119"/>
      <c r="AM37" s="119"/>
      <c r="AN37" s="119"/>
    </row>
    <row r="38" spans="1:40" x14ac:dyDescent="0.2">
      <c r="A38" s="2" t="s">
        <v>36</v>
      </c>
      <c r="B38" s="3">
        <v>329</v>
      </c>
      <c r="C38" s="5" t="s">
        <v>12</v>
      </c>
      <c r="D38" s="6">
        <f t="shared" si="0"/>
        <v>0.32900000000000001</v>
      </c>
      <c r="F38" s="1" t="s">
        <v>320</v>
      </c>
      <c r="G38" s="1">
        <v>0.5</v>
      </c>
      <c r="H38" s="1" t="s">
        <v>22</v>
      </c>
      <c r="I38" s="1">
        <v>0.38947999999999999</v>
      </c>
      <c r="J38" s="1">
        <f t="shared" si="35"/>
        <v>0.19474</v>
      </c>
      <c r="L38" s="1" t="s">
        <v>313</v>
      </c>
      <c r="M38" s="1">
        <v>30</v>
      </c>
      <c r="N38" s="1" t="s">
        <v>129</v>
      </c>
      <c r="O38" s="55" t="s">
        <v>322</v>
      </c>
      <c r="P38" s="56"/>
      <c r="R38" s="1" t="s">
        <v>41</v>
      </c>
      <c r="S38" s="1"/>
      <c r="T38" s="1"/>
      <c r="U38" s="1"/>
      <c r="V38" s="21">
        <f>SUM(V34:V37)</f>
        <v>1.8364649999999998</v>
      </c>
      <c r="X38" s="1" t="s">
        <v>325</v>
      </c>
      <c r="Y38" s="1">
        <v>45</v>
      </c>
      <c r="Z38" s="1" t="s">
        <v>129</v>
      </c>
      <c r="AA38" s="55">
        <v>630</v>
      </c>
      <c r="AB38" s="56"/>
      <c r="AJ38" s="1" t="s">
        <v>309</v>
      </c>
      <c r="AK38" s="1">
        <v>1.5</v>
      </c>
      <c r="AL38" s="1" t="s">
        <v>22</v>
      </c>
      <c r="AM38" s="1">
        <v>0.32979999999999998</v>
      </c>
      <c r="AN38" s="1">
        <f>AM38*AK38</f>
        <v>0.49469999999999997</v>
      </c>
    </row>
    <row r="39" spans="1:40" x14ac:dyDescent="0.2">
      <c r="A39" s="2" t="s">
        <v>111</v>
      </c>
      <c r="B39" s="3">
        <v>329.8</v>
      </c>
      <c r="C39" s="5" t="s">
        <v>12</v>
      </c>
      <c r="D39" s="6">
        <f t="shared" si="0"/>
        <v>0.32980000000000004</v>
      </c>
      <c r="F39" s="1" t="s">
        <v>41</v>
      </c>
      <c r="G39" s="1"/>
      <c r="H39" s="1"/>
      <c r="I39" s="1"/>
      <c r="J39" s="21">
        <f>SUM(J35:J38)</f>
        <v>1.79206</v>
      </c>
      <c r="L39" s="1" t="s">
        <v>311</v>
      </c>
      <c r="M39" s="1">
        <v>30</v>
      </c>
      <c r="N39" s="1" t="s">
        <v>129</v>
      </c>
      <c r="O39" s="55" t="s">
        <v>323</v>
      </c>
      <c r="P39" s="56"/>
      <c r="X39" s="1" t="s">
        <v>326</v>
      </c>
      <c r="Y39" s="1">
        <v>35</v>
      </c>
      <c r="Z39" s="1" t="s">
        <v>129</v>
      </c>
      <c r="AA39" s="55">
        <v>630</v>
      </c>
      <c r="AB39" s="56"/>
      <c r="AJ39" s="1" t="s">
        <v>121</v>
      </c>
      <c r="AK39" s="1">
        <v>4</v>
      </c>
      <c r="AL39" s="1" t="s">
        <v>22</v>
      </c>
      <c r="AM39" s="1">
        <v>4.267E-2</v>
      </c>
      <c r="AN39" s="1">
        <f t="shared" ref="AN39:AN41" si="36">AM39*AK39</f>
        <v>0.17068</v>
      </c>
    </row>
    <row r="40" spans="1:40" x14ac:dyDescent="0.2">
      <c r="A40" s="1" t="s">
        <v>113</v>
      </c>
      <c r="B40" s="3">
        <v>445.5</v>
      </c>
      <c r="C40" s="5" t="s">
        <v>12</v>
      </c>
      <c r="D40" s="6">
        <f t="shared" si="0"/>
        <v>0.44550000000000001</v>
      </c>
      <c r="L40" s="1" t="s">
        <v>324</v>
      </c>
      <c r="M40" s="1">
        <v>170</v>
      </c>
      <c r="N40" s="1" t="s">
        <v>129</v>
      </c>
      <c r="O40" s="55">
        <v>630</v>
      </c>
      <c r="P40" s="56"/>
      <c r="R40" s="124" t="s">
        <v>127</v>
      </c>
      <c r="S40" s="124"/>
      <c r="T40" s="124"/>
      <c r="U40" s="124"/>
      <c r="V40" s="124"/>
      <c r="X40" s="1" t="s">
        <v>327</v>
      </c>
      <c r="Y40" s="1">
        <v>50</v>
      </c>
      <c r="Z40" s="1" t="s">
        <v>129</v>
      </c>
      <c r="AA40" s="55">
        <v>630</v>
      </c>
      <c r="AB40" s="56"/>
      <c r="AJ40" s="1" t="s">
        <v>291</v>
      </c>
      <c r="AK40" s="1">
        <v>3</v>
      </c>
      <c r="AL40" s="1" t="s">
        <v>22</v>
      </c>
      <c r="AM40" s="1">
        <v>0.16839999999999999</v>
      </c>
      <c r="AN40" s="1">
        <f t="shared" si="36"/>
        <v>0.50519999999999998</v>
      </c>
    </row>
    <row r="41" spans="1:40" x14ac:dyDescent="0.2">
      <c r="A41" s="1" t="s">
        <v>115</v>
      </c>
      <c r="B41" s="3">
        <v>24.09</v>
      </c>
      <c r="C41" s="5" t="s">
        <v>12</v>
      </c>
      <c r="D41" s="6">
        <f t="shared" si="0"/>
        <v>2.409E-2</v>
      </c>
      <c r="F41" s="63" t="s">
        <v>127</v>
      </c>
      <c r="G41" s="63"/>
      <c r="H41" s="63"/>
      <c r="I41" s="63"/>
      <c r="J41" s="63"/>
      <c r="L41" s="1" t="s">
        <v>325</v>
      </c>
      <c r="M41" s="1">
        <v>45</v>
      </c>
      <c r="N41" s="1" t="s">
        <v>129</v>
      </c>
      <c r="O41" s="55">
        <v>630</v>
      </c>
      <c r="P41" s="56"/>
      <c r="R41" s="1" t="s">
        <v>316</v>
      </c>
      <c r="S41" s="1">
        <v>30</v>
      </c>
      <c r="T41" s="1" t="s">
        <v>129</v>
      </c>
      <c r="U41" s="55" t="s">
        <v>322</v>
      </c>
      <c r="V41" s="56"/>
      <c r="X41" s="1" t="s">
        <v>328</v>
      </c>
      <c r="Y41" s="1">
        <v>60</v>
      </c>
      <c r="Z41" s="1" t="s">
        <v>129</v>
      </c>
      <c r="AA41" s="55">
        <v>822</v>
      </c>
      <c r="AB41" s="56"/>
      <c r="AJ41" s="1" t="s">
        <v>321</v>
      </c>
      <c r="AK41" s="1">
        <v>0.5</v>
      </c>
      <c r="AL41" s="1" t="s">
        <v>22</v>
      </c>
      <c r="AM41" s="1">
        <v>0.40317999999999998</v>
      </c>
      <c r="AN41" s="1">
        <f t="shared" si="36"/>
        <v>0.20158999999999999</v>
      </c>
    </row>
    <row r="42" spans="1:40" x14ac:dyDescent="0.2">
      <c r="A42" s="1" t="s">
        <v>120</v>
      </c>
      <c r="B42" s="3">
        <v>41.4</v>
      </c>
      <c r="C42" s="5" t="s">
        <v>12</v>
      </c>
      <c r="D42" s="6">
        <f t="shared" si="0"/>
        <v>4.1399999999999999E-2</v>
      </c>
      <c r="F42" s="1" t="s">
        <v>317</v>
      </c>
      <c r="G42" s="1">
        <v>30</v>
      </c>
      <c r="H42" s="1" t="s">
        <v>129</v>
      </c>
      <c r="I42" s="55" t="s">
        <v>322</v>
      </c>
      <c r="J42" s="56"/>
      <c r="L42" s="1" t="s">
        <v>326</v>
      </c>
      <c r="M42" s="1">
        <v>45</v>
      </c>
      <c r="N42" s="1" t="s">
        <v>129</v>
      </c>
      <c r="O42" s="55">
        <v>630</v>
      </c>
      <c r="P42" s="56"/>
      <c r="R42" s="1" t="s">
        <v>520</v>
      </c>
      <c r="S42" s="1">
        <v>30</v>
      </c>
      <c r="T42" s="1" t="s">
        <v>129</v>
      </c>
      <c r="U42" s="55" t="s">
        <v>323</v>
      </c>
      <c r="V42" s="56"/>
      <c r="X42" s="1" t="s">
        <v>237</v>
      </c>
      <c r="Y42" s="1">
        <f>SUM(Y36:Y41)</f>
        <v>390</v>
      </c>
      <c r="Z42" s="1" t="s">
        <v>129</v>
      </c>
      <c r="AA42" s="55">
        <v>630</v>
      </c>
      <c r="AB42" s="56"/>
      <c r="AJ42" s="1" t="s">
        <v>41</v>
      </c>
      <c r="AK42" s="1"/>
      <c r="AL42" s="1"/>
      <c r="AM42" s="1"/>
      <c r="AN42" s="21">
        <f>SUM(AN38:AN41)</f>
        <v>1.3721699999999999</v>
      </c>
    </row>
    <row r="43" spans="1:40" x14ac:dyDescent="0.2">
      <c r="A43" s="1" t="s">
        <v>122</v>
      </c>
      <c r="B43" s="3">
        <v>63.2</v>
      </c>
      <c r="C43" s="5" t="s">
        <v>12</v>
      </c>
      <c r="D43" s="6">
        <f t="shared" si="0"/>
        <v>6.3200000000000006E-2</v>
      </c>
      <c r="F43" s="1" t="s">
        <v>286</v>
      </c>
      <c r="G43" s="1">
        <v>30</v>
      </c>
      <c r="H43" s="1" t="s">
        <v>129</v>
      </c>
      <c r="I43" s="55" t="s">
        <v>323</v>
      </c>
      <c r="J43" s="56"/>
      <c r="L43" s="1" t="s">
        <v>327</v>
      </c>
      <c r="M43" s="1">
        <v>50</v>
      </c>
      <c r="N43" s="1" t="s">
        <v>129</v>
      </c>
      <c r="O43" s="55">
        <v>630</v>
      </c>
      <c r="P43" s="56"/>
      <c r="R43" s="1" t="s">
        <v>324</v>
      </c>
      <c r="S43" s="1">
        <v>170</v>
      </c>
      <c r="T43" s="1" t="s">
        <v>129</v>
      </c>
      <c r="U43" s="55">
        <v>630</v>
      </c>
      <c r="V43" s="56"/>
      <c r="X43" s="33" t="s">
        <v>240</v>
      </c>
      <c r="Y43" s="35">
        <f>Y42/AA42</f>
        <v>0.61904761904761907</v>
      </c>
      <c r="Z43" s="33" t="s">
        <v>129</v>
      </c>
      <c r="AA43" s="57" t="s">
        <v>330</v>
      </c>
      <c r="AB43" s="58"/>
    </row>
    <row r="44" spans="1:40" x14ac:dyDescent="0.2">
      <c r="A44" s="1" t="s">
        <v>126</v>
      </c>
      <c r="B44" s="3">
        <v>173.49</v>
      </c>
      <c r="C44" s="5" t="s">
        <v>12</v>
      </c>
      <c r="D44" s="6">
        <f t="shared" si="0"/>
        <v>0.17349000000000001</v>
      </c>
      <c r="F44" s="1" t="s">
        <v>324</v>
      </c>
      <c r="G44" s="1">
        <v>170</v>
      </c>
      <c r="H44" s="1" t="s">
        <v>129</v>
      </c>
      <c r="I44" s="55">
        <v>630</v>
      </c>
      <c r="J44" s="56"/>
      <c r="L44" s="1" t="s">
        <v>328</v>
      </c>
      <c r="M44" s="1">
        <v>60</v>
      </c>
      <c r="N44" s="1" t="s">
        <v>129</v>
      </c>
      <c r="O44" s="55">
        <v>822</v>
      </c>
      <c r="P44" s="56"/>
      <c r="R44" s="1" t="s">
        <v>325</v>
      </c>
      <c r="S44" s="1">
        <v>45</v>
      </c>
      <c r="T44" s="1" t="s">
        <v>129</v>
      </c>
      <c r="U44" s="55">
        <v>630</v>
      </c>
      <c r="V44" s="56"/>
      <c r="AJ44" s="126" t="s">
        <v>127</v>
      </c>
      <c r="AK44" s="126"/>
      <c r="AL44" s="126"/>
      <c r="AM44" s="126"/>
      <c r="AN44" s="126"/>
    </row>
    <row r="45" spans="1:40" x14ac:dyDescent="0.2">
      <c r="A45" s="1" t="s">
        <v>29</v>
      </c>
      <c r="B45" s="3">
        <v>81</v>
      </c>
      <c r="C45" s="5" t="s">
        <v>12</v>
      </c>
      <c r="D45" s="6">
        <f t="shared" si="0"/>
        <v>8.1000000000000003E-2</v>
      </c>
      <c r="F45" s="1" t="s">
        <v>325</v>
      </c>
      <c r="G45" s="1">
        <v>45</v>
      </c>
      <c r="H45" s="1" t="s">
        <v>129</v>
      </c>
      <c r="I45" s="55">
        <v>630</v>
      </c>
      <c r="J45" s="56"/>
      <c r="L45" s="1" t="s">
        <v>237</v>
      </c>
      <c r="M45" s="1">
        <f>SUM(M38:M44)</f>
        <v>430</v>
      </c>
      <c r="N45" s="1" t="s">
        <v>129</v>
      </c>
      <c r="O45" s="55">
        <v>630</v>
      </c>
      <c r="P45" s="56"/>
      <c r="R45" s="1" t="s">
        <v>326</v>
      </c>
      <c r="S45" s="1">
        <v>45</v>
      </c>
      <c r="T45" s="1" t="s">
        <v>129</v>
      </c>
      <c r="U45" s="55">
        <v>630</v>
      </c>
      <c r="V45" s="56"/>
      <c r="X45" s="1" t="s">
        <v>503</v>
      </c>
      <c r="Y45" s="1">
        <v>375</v>
      </c>
      <c r="Z45" s="1" t="s">
        <v>494</v>
      </c>
      <c r="AA45" s="1">
        <f>Y45/60</f>
        <v>6.25</v>
      </c>
      <c r="AB45" s="1" t="s">
        <v>129</v>
      </c>
      <c r="AJ45" s="1" t="s">
        <v>726</v>
      </c>
      <c r="AK45" s="1">
        <v>30</v>
      </c>
      <c r="AL45" s="1" t="s">
        <v>129</v>
      </c>
      <c r="AM45" s="55" t="s">
        <v>323</v>
      </c>
      <c r="AN45" s="56"/>
    </row>
    <row r="46" spans="1:40" x14ac:dyDescent="0.2">
      <c r="A46" s="1" t="s">
        <v>90</v>
      </c>
      <c r="B46" s="3">
        <v>930</v>
      </c>
      <c r="C46" s="5" t="s">
        <v>12</v>
      </c>
      <c r="D46" s="6">
        <f t="shared" si="0"/>
        <v>0.93</v>
      </c>
      <c r="F46" s="1" t="s">
        <v>326</v>
      </c>
      <c r="G46" s="1">
        <v>45</v>
      </c>
      <c r="H46" s="1" t="s">
        <v>129</v>
      </c>
      <c r="I46" s="55">
        <v>630</v>
      </c>
      <c r="J46" s="56"/>
      <c r="L46" s="33" t="s">
        <v>240</v>
      </c>
      <c r="M46" s="35">
        <f>M45/O45</f>
        <v>0.68253968253968256</v>
      </c>
      <c r="N46" s="33" t="s">
        <v>129</v>
      </c>
      <c r="O46" s="57" t="s">
        <v>330</v>
      </c>
      <c r="P46" s="58"/>
      <c r="R46" s="1" t="s">
        <v>327</v>
      </c>
      <c r="S46" s="1">
        <v>50</v>
      </c>
      <c r="T46" s="1" t="s">
        <v>129</v>
      </c>
      <c r="U46" s="55">
        <v>630</v>
      </c>
      <c r="V46" s="56"/>
      <c r="AJ46" s="1" t="s">
        <v>324</v>
      </c>
      <c r="AK46" s="1">
        <v>170</v>
      </c>
      <c r="AL46" s="1" t="s">
        <v>129</v>
      </c>
      <c r="AM46" s="55">
        <v>630</v>
      </c>
      <c r="AN46" s="56"/>
    </row>
    <row r="47" spans="1:40" x14ac:dyDescent="0.2">
      <c r="A47" s="1" t="s">
        <v>130</v>
      </c>
      <c r="B47" s="3">
        <v>750</v>
      </c>
      <c r="C47" s="5" t="s">
        <v>12</v>
      </c>
      <c r="D47" s="6">
        <f t="shared" si="0"/>
        <v>0.75</v>
      </c>
      <c r="F47" s="1" t="s">
        <v>327</v>
      </c>
      <c r="G47" s="1">
        <v>50</v>
      </c>
      <c r="H47" s="1" t="s">
        <v>129</v>
      </c>
      <c r="I47" s="55">
        <v>630</v>
      </c>
      <c r="J47" s="56"/>
      <c r="R47" s="1" t="s">
        <v>328</v>
      </c>
      <c r="S47" s="1">
        <v>60</v>
      </c>
      <c r="T47" s="1" t="s">
        <v>129</v>
      </c>
      <c r="U47" s="55">
        <v>822</v>
      </c>
      <c r="V47" s="56"/>
      <c r="X47" s="101" t="s">
        <v>283</v>
      </c>
      <c r="Y47" s="102"/>
      <c r="AJ47" s="1" t="s">
        <v>325</v>
      </c>
      <c r="AK47" s="1">
        <v>45</v>
      </c>
      <c r="AL47" s="1" t="s">
        <v>129</v>
      </c>
      <c r="AM47" s="55">
        <v>630</v>
      </c>
      <c r="AN47" s="56"/>
    </row>
    <row r="48" spans="1:40" x14ac:dyDescent="0.2">
      <c r="A48" s="1" t="s">
        <v>135</v>
      </c>
      <c r="B48" s="3">
        <v>1224</v>
      </c>
      <c r="C48" s="5" t="s">
        <v>12</v>
      </c>
      <c r="D48" s="6">
        <f t="shared" si="0"/>
        <v>1.224</v>
      </c>
      <c r="F48" s="1" t="s">
        <v>328</v>
      </c>
      <c r="G48" s="1">
        <v>60</v>
      </c>
      <c r="H48" s="1" t="s">
        <v>129</v>
      </c>
      <c r="I48" s="55">
        <v>822</v>
      </c>
      <c r="J48" s="56"/>
      <c r="L48" s="1" t="s">
        <v>503</v>
      </c>
      <c r="M48" s="1">
        <v>375</v>
      </c>
      <c r="N48" s="1" t="s">
        <v>494</v>
      </c>
      <c r="O48" s="1">
        <f>M48/60</f>
        <v>6.25</v>
      </c>
      <c r="P48" s="1" t="s">
        <v>129</v>
      </c>
      <c r="R48" s="1" t="s">
        <v>237</v>
      </c>
      <c r="S48" s="1">
        <f>SUM(S41:S47)</f>
        <v>430</v>
      </c>
      <c r="T48" s="1" t="s">
        <v>129</v>
      </c>
      <c r="U48" s="55">
        <v>630</v>
      </c>
      <c r="V48" s="56"/>
      <c r="X48" s="43" t="s">
        <v>415</v>
      </c>
      <c r="Y48" s="43">
        <f>AB33</f>
        <v>1.9962500000000001</v>
      </c>
      <c r="AJ48" s="1" t="s">
        <v>326</v>
      </c>
      <c r="AK48" s="1">
        <v>30</v>
      </c>
      <c r="AL48" s="1" t="s">
        <v>129</v>
      </c>
      <c r="AM48" s="55">
        <v>630</v>
      </c>
      <c r="AN48" s="56"/>
    </row>
    <row r="49" spans="1:40" x14ac:dyDescent="0.2">
      <c r="A49" s="1" t="s">
        <v>140</v>
      </c>
      <c r="B49" s="3">
        <v>760</v>
      </c>
      <c r="C49" s="5" t="s">
        <v>12</v>
      </c>
      <c r="D49" s="6">
        <f t="shared" si="0"/>
        <v>0.76</v>
      </c>
      <c r="F49" s="1" t="s">
        <v>237</v>
      </c>
      <c r="G49" s="1">
        <f>SUM(G42:G48)</f>
        <v>430</v>
      </c>
      <c r="H49" s="1" t="s">
        <v>129</v>
      </c>
      <c r="I49" s="55">
        <v>630</v>
      </c>
      <c r="J49" s="56"/>
      <c r="R49" s="33" t="s">
        <v>240</v>
      </c>
      <c r="S49" s="35">
        <f>S48/U48</f>
        <v>0.68253968253968256</v>
      </c>
      <c r="T49" s="33" t="s">
        <v>129</v>
      </c>
      <c r="U49" s="57" t="s">
        <v>330</v>
      </c>
      <c r="V49" s="58"/>
      <c r="X49" s="1" t="s">
        <v>496</v>
      </c>
      <c r="Y49" s="1">
        <f>Y43*AA45</f>
        <v>3.8690476190476191</v>
      </c>
      <c r="AJ49" s="1" t="s">
        <v>327</v>
      </c>
      <c r="AK49" s="1">
        <v>50</v>
      </c>
      <c r="AL49" s="1" t="s">
        <v>129</v>
      </c>
      <c r="AM49" s="55">
        <v>630</v>
      </c>
      <c r="AN49" s="56"/>
    </row>
    <row r="50" spans="1:40" x14ac:dyDescent="0.2">
      <c r="A50" s="1" t="s">
        <v>44</v>
      </c>
      <c r="B50" s="3">
        <v>658</v>
      </c>
      <c r="C50" s="5" t="s">
        <v>12</v>
      </c>
      <c r="D50" s="6">
        <f t="shared" si="0"/>
        <v>0.65800000000000003</v>
      </c>
      <c r="F50" s="33" t="s">
        <v>240</v>
      </c>
      <c r="G50" s="35">
        <f>G49/I49</f>
        <v>0.68253968253968256</v>
      </c>
      <c r="H50" s="33" t="s">
        <v>129</v>
      </c>
      <c r="I50" s="57" t="s">
        <v>330</v>
      </c>
      <c r="J50" s="58"/>
      <c r="L50" s="98" t="s">
        <v>818</v>
      </c>
      <c r="M50" s="99"/>
      <c r="X50" s="33" t="s">
        <v>679</v>
      </c>
      <c r="Y50" s="21">
        <f>SUM(Y48:Y49)</f>
        <v>5.8652976190476194</v>
      </c>
      <c r="AJ50" s="1" t="s">
        <v>328</v>
      </c>
      <c r="AK50" s="1">
        <v>60</v>
      </c>
      <c r="AL50" s="1" t="s">
        <v>129</v>
      </c>
      <c r="AM50" s="55">
        <v>822</v>
      </c>
      <c r="AN50" s="56"/>
    </row>
    <row r="51" spans="1:40" x14ac:dyDescent="0.2">
      <c r="A51" s="1" t="s">
        <v>145</v>
      </c>
      <c r="B51" s="3">
        <v>836</v>
      </c>
      <c r="C51" s="5" t="s">
        <v>12</v>
      </c>
      <c r="D51" s="6">
        <f t="shared" si="0"/>
        <v>0.83599999999999997</v>
      </c>
      <c r="L51" s="43" t="s">
        <v>415</v>
      </c>
      <c r="M51" s="43">
        <f>P35</f>
        <v>1.8801949999999998</v>
      </c>
      <c r="R51" s="1" t="s">
        <v>503</v>
      </c>
      <c r="S51" s="1">
        <v>375</v>
      </c>
      <c r="T51" s="1" t="s">
        <v>494</v>
      </c>
      <c r="U51" s="1">
        <f>S51/60</f>
        <v>6.25</v>
      </c>
      <c r="V51" s="1" t="s">
        <v>129</v>
      </c>
      <c r="AJ51" s="1" t="s">
        <v>237</v>
      </c>
      <c r="AK51" s="1">
        <f>SUM(AK45:AK50)</f>
        <v>385</v>
      </c>
      <c r="AL51" s="1" t="s">
        <v>129</v>
      </c>
      <c r="AM51" s="55">
        <v>630</v>
      </c>
      <c r="AN51" s="56"/>
    </row>
    <row r="52" spans="1:40" x14ac:dyDescent="0.2">
      <c r="A52" s="1" t="s">
        <v>88</v>
      </c>
      <c r="B52" s="3">
        <v>350.4</v>
      </c>
      <c r="C52" s="5" t="s">
        <v>12</v>
      </c>
      <c r="D52" s="6">
        <f t="shared" si="0"/>
        <v>0.35039999999999999</v>
      </c>
      <c r="F52" s="1" t="s">
        <v>503</v>
      </c>
      <c r="G52" s="1">
        <v>375</v>
      </c>
      <c r="H52" s="1" t="s">
        <v>494</v>
      </c>
      <c r="I52" s="1">
        <f>G52/60</f>
        <v>6.25</v>
      </c>
      <c r="J52" s="1" t="s">
        <v>129</v>
      </c>
      <c r="L52" s="1" t="s">
        <v>496</v>
      </c>
      <c r="M52" s="1">
        <f>M46*O48</f>
        <v>4.2658730158730158</v>
      </c>
      <c r="AJ52" s="33" t="s">
        <v>240</v>
      </c>
      <c r="AK52" s="35">
        <f>AK51/AM51</f>
        <v>0.61111111111111116</v>
      </c>
      <c r="AL52" s="33" t="s">
        <v>129</v>
      </c>
      <c r="AM52" s="57" t="s">
        <v>330</v>
      </c>
      <c r="AN52" s="58"/>
    </row>
    <row r="53" spans="1:40" x14ac:dyDescent="0.2">
      <c r="A53" s="1" t="s">
        <v>148</v>
      </c>
      <c r="B53" s="3">
        <v>48.8</v>
      </c>
      <c r="C53" s="5" t="s">
        <v>12</v>
      </c>
      <c r="D53" s="6">
        <f t="shared" si="0"/>
        <v>4.8799999999999996E-2</v>
      </c>
      <c r="L53" s="33" t="s">
        <v>679</v>
      </c>
      <c r="M53" s="21">
        <f>SUM(M51:M52)</f>
        <v>6.1460680158730154</v>
      </c>
      <c r="R53" s="103" t="s">
        <v>282</v>
      </c>
      <c r="S53" s="104"/>
    </row>
    <row r="54" spans="1:40" x14ac:dyDescent="0.2">
      <c r="A54" s="1" t="s">
        <v>150</v>
      </c>
      <c r="B54" s="3">
        <v>85</v>
      </c>
      <c r="C54" s="5" t="s">
        <v>12</v>
      </c>
      <c r="D54" s="6">
        <f t="shared" si="0"/>
        <v>8.5000000000000006E-2</v>
      </c>
      <c r="F54" s="89" t="s">
        <v>280</v>
      </c>
      <c r="G54" s="91"/>
      <c r="R54" s="43" t="s">
        <v>415</v>
      </c>
      <c r="S54" s="43">
        <f>V38</f>
        <v>1.8364649999999998</v>
      </c>
      <c r="AJ54" s="1" t="s">
        <v>503</v>
      </c>
      <c r="AK54" s="1">
        <v>375</v>
      </c>
      <c r="AL54" s="1" t="s">
        <v>494</v>
      </c>
      <c r="AM54" s="1">
        <f>AK54/60</f>
        <v>6.25</v>
      </c>
      <c r="AN54" s="1" t="s">
        <v>129</v>
      </c>
    </row>
    <row r="55" spans="1:40" x14ac:dyDescent="0.2">
      <c r="A55" s="1" t="s">
        <v>153</v>
      </c>
      <c r="B55" s="3">
        <v>144</v>
      </c>
      <c r="C55" s="5" t="s">
        <v>12</v>
      </c>
      <c r="D55" s="6">
        <f t="shared" si="0"/>
        <v>0.14399999999999999</v>
      </c>
      <c r="F55" s="43" t="s">
        <v>415</v>
      </c>
      <c r="G55" s="43">
        <f>J39</f>
        <v>1.79206</v>
      </c>
      <c r="R55" s="1" t="s">
        <v>496</v>
      </c>
      <c r="S55" s="1">
        <f>S49*U51</f>
        <v>4.2658730158730158</v>
      </c>
    </row>
    <row r="56" spans="1:40" x14ac:dyDescent="0.2">
      <c r="A56" s="1" t="s">
        <v>155</v>
      </c>
      <c r="B56" s="3">
        <v>157.44</v>
      </c>
      <c r="C56" s="5" t="s">
        <v>12</v>
      </c>
      <c r="D56" s="6">
        <f t="shared" si="0"/>
        <v>0.15744</v>
      </c>
      <c r="F56" s="1" t="s">
        <v>496</v>
      </c>
      <c r="G56" s="1">
        <f>G50*I52</f>
        <v>4.2658730158730158</v>
      </c>
      <c r="R56" s="33" t="s">
        <v>679</v>
      </c>
      <c r="S56" s="21">
        <f>SUM(S54:S55)</f>
        <v>6.1023380158730154</v>
      </c>
      <c r="AJ56" s="127" t="s">
        <v>319</v>
      </c>
      <c r="AK56" s="128"/>
    </row>
    <row r="57" spans="1:40" x14ac:dyDescent="0.2">
      <c r="A57" s="1" t="s">
        <v>140</v>
      </c>
      <c r="B57" s="3">
        <v>812.8</v>
      </c>
      <c r="C57" s="5" t="s">
        <v>12</v>
      </c>
      <c r="D57" s="6">
        <f t="shared" si="0"/>
        <v>0.81279999999999997</v>
      </c>
      <c r="F57" s="33" t="s">
        <v>679</v>
      </c>
      <c r="G57" s="21">
        <f>SUM(G55:G56)</f>
        <v>6.057933015873016</v>
      </c>
      <c r="AJ57" s="43" t="s">
        <v>415</v>
      </c>
      <c r="AK57" s="43">
        <f>AN42</f>
        <v>1.3721699999999999</v>
      </c>
    </row>
    <row r="58" spans="1:40" x14ac:dyDescent="0.2">
      <c r="A58" s="1" t="s">
        <v>74</v>
      </c>
      <c r="B58" s="3">
        <v>206.63</v>
      </c>
      <c r="C58" s="5" t="s">
        <v>12</v>
      </c>
      <c r="D58" s="6">
        <f t="shared" si="0"/>
        <v>0.20663000000000001</v>
      </c>
      <c r="AJ58" s="1" t="s">
        <v>496</v>
      </c>
      <c r="AK58" s="1">
        <f>AK52*AM54</f>
        <v>3.8194444444444446</v>
      </c>
    </row>
    <row r="59" spans="1:40" x14ac:dyDescent="0.2">
      <c r="A59" s="1" t="s">
        <v>161</v>
      </c>
      <c r="B59" s="3">
        <v>50</v>
      </c>
      <c r="C59" s="5" t="s">
        <v>12</v>
      </c>
      <c r="D59" s="6">
        <f t="shared" si="0"/>
        <v>0.05</v>
      </c>
      <c r="AJ59" s="33" t="s">
        <v>679</v>
      </c>
      <c r="AK59" s="21">
        <f>SUM(AK57:AK58)</f>
        <v>5.1916144444444443</v>
      </c>
    </row>
    <row r="60" spans="1:40" x14ac:dyDescent="0.2">
      <c r="A60" s="1" t="s">
        <v>163</v>
      </c>
      <c r="B60" s="3">
        <v>75</v>
      </c>
      <c r="C60" s="5" t="s">
        <v>12</v>
      </c>
      <c r="D60" s="6">
        <f t="shared" si="0"/>
        <v>7.4999999999999997E-2</v>
      </c>
    </row>
    <row r="61" spans="1:40" x14ac:dyDescent="0.2">
      <c r="A61" s="1" t="s">
        <v>164</v>
      </c>
      <c r="B61" s="3">
        <v>173.2</v>
      </c>
      <c r="C61" s="5" t="s">
        <v>12</v>
      </c>
      <c r="D61" s="6">
        <f t="shared" si="0"/>
        <v>0.17319999999999999</v>
      </c>
    </row>
    <row r="62" spans="1:40" x14ac:dyDescent="0.2">
      <c r="A62" s="1" t="s">
        <v>137</v>
      </c>
      <c r="B62" s="3">
        <v>611</v>
      </c>
      <c r="C62" s="5" t="s">
        <v>12</v>
      </c>
      <c r="D62" s="6">
        <f t="shared" si="0"/>
        <v>0.61099999999999999</v>
      </c>
    </row>
    <row r="63" spans="1:40" x14ac:dyDescent="0.2">
      <c r="A63" s="1" t="s">
        <v>63</v>
      </c>
      <c r="B63" s="3">
        <v>454</v>
      </c>
      <c r="C63" s="5" t="s">
        <v>12</v>
      </c>
      <c r="D63" s="6">
        <f t="shared" si="0"/>
        <v>0.45400000000000001</v>
      </c>
    </row>
    <row r="64" spans="1:40" x14ac:dyDescent="0.2">
      <c r="A64" s="1" t="s">
        <v>165</v>
      </c>
      <c r="B64" s="3">
        <v>224.8</v>
      </c>
      <c r="C64" s="5" t="s">
        <v>12</v>
      </c>
      <c r="D64" s="6">
        <f t="shared" si="0"/>
        <v>0.2248</v>
      </c>
    </row>
    <row r="65" spans="1:4" x14ac:dyDescent="0.2">
      <c r="A65" s="1" t="s">
        <v>168</v>
      </c>
      <c r="B65" s="3">
        <v>141.4</v>
      </c>
      <c r="C65" s="5" t="s">
        <v>12</v>
      </c>
      <c r="D65" s="6">
        <f t="shared" si="0"/>
        <v>0.1414</v>
      </c>
    </row>
    <row r="66" spans="1:4" x14ac:dyDescent="0.2">
      <c r="A66" s="1" t="s">
        <v>169</v>
      </c>
      <c r="B66" s="3">
        <v>164</v>
      </c>
      <c r="C66" s="5" t="s">
        <v>12</v>
      </c>
      <c r="D66" s="6">
        <f t="shared" si="0"/>
        <v>0.16400000000000001</v>
      </c>
    </row>
    <row r="67" spans="1:4" x14ac:dyDescent="0.2">
      <c r="A67" s="1" t="s">
        <v>171</v>
      </c>
      <c r="B67" s="3">
        <v>166.24</v>
      </c>
      <c r="C67" s="5" t="s">
        <v>12</v>
      </c>
      <c r="D67" s="6">
        <f t="shared" ref="D67:D107" si="37">B67/1000</f>
        <v>0.16624</v>
      </c>
    </row>
    <row r="68" spans="1:4" x14ac:dyDescent="0.2">
      <c r="A68" s="1" t="s">
        <v>173</v>
      </c>
      <c r="B68" s="3">
        <v>168</v>
      </c>
      <c r="C68" s="5" t="s">
        <v>12</v>
      </c>
      <c r="D68" s="6">
        <f t="shared" si="37"/>
        <v>0.16800000000000001</v>
      </c>
    </row>
    <row r="69" spans="1:4" x14ac:dyDescent="0.2">
      <c r="A69" s="1" t="s">
        <v>174</v>
      </c>
      <c r="B69" s="3">
        <v>882</v>
      </c>
      <c r="C69" s="5" t="s">
        <v>12</v>
      </c>
      <c r="D69" s="6">
        <f t="shared" si="37"/>
        <v>0.88200000000000001</v>
      </c>
    </row>
    <row r="70" spans="1:4" x14ac:dyDescent="0.2">
      <c r="A70" s="1" t="s">
        <v>176</v>
      </c>
      <c r="B70" s="3">
        <v>828</v>
      </c>
      <c r="C70" s="5" t="s">
        <v>12</v>
      </c>
      <c r="D70" s="6">
        <f t="shared" si="37"/>
        <v>0.82799999999999996</v>
      </c>
    </row>
    <row r="71" spans="1:4" x14ac:dyDescent="0.2">
      <c r="A71" s="1" t="s">
        <v>179</v>
      </c>
      <c r="B71" s="3">
        <v>128</v>
      </c>
      <c r="C71" s="5" t="s">
        <v>12</v>
      </c>
      <c r="D71" s="6">
        <f t="shared" si="37"/>
        <v>0.128</v>
      </c>
    </row>
    <row r="72" spans="1:4" x14ac:dyDescent="0.2">
      <c r="A72" s="1" t="s">
        <v>181</v>
      </c>
      <c r="B72" s="4">
        <v>205.33</v>
      </c>
      <c r="C72" s="5" t="s">
        <v>12</v>
      </c>
      <c r="D72" s="6">
        <f t="shared" si="37"/>
        <v>0.20533000000000001</v>
      </c>
    </row>
    <row r="73" spans="1:4" x14ac:dyDescent="0.2">
      <c r="A73" s="1" t="s">
        <v>62</v>
      </c>
      <c r="B73" s="3">
        <v>114.66</v>
      </c>
      <c r="C73" s="5" t="s">
        <v>12</v>
      </c>
      <c r="D73" s="6">
        <f t="shared" si="37"/>
        <v>0.11466</v>
      </c>
    </row>
    <row r="74" spans="1:4" x14ac:dyDescent="0.2">
      <c r="A74" s="1" t="s">
        <v>86</v>
      </c>
      <c r="B74" s="3">
        <v>126</v>
      </c>
      <c r="C74" s="5" t="s">
        <v>12</v>
      </c>
      <c r="D74" s="6">
        <f t="shared" si="37"/>
        <v>0.126</v>
      </c>
    </row>
    <row r="75" spans="1:4" x14ac:dyDescent="0.2">
      <c r="A75" s="1" t="s">
        <v>183</v>
      </c>
      <c r="B75" s="3">
        <v>167</v>
      </c>
      <c r="C75" s="5" t="s">
        <v>12</v>
      </c>
      <c r="D75" s="6">
        <f t="shared" si="37"/>
        <v>0.16700000000000001</v>
      </c>
    </row>
    <row r="76" spans="1:4" x14ac:dyDescent="0.2">
      <c r="A76" s="1" t="s">
        <v>184</v>
      </c>
      <c r="B76" s="3">
        <v>133.6</v>
      </c>
      <c r="C76" s="5" t="s">
        <v>12</v>
      </c>
      <c r="D76" s="6">
        <f t="shared" si="37"/>
        <v>0.1336</v>
      </c>
    </row>
    <row r="77" spans="1:4" x14ac:dyDescent="0.2">
      <c r="A77" s="1" t="s">
        <v>186</v>
      </c>
      <c r="B77" s="3">
        <v>113.6</v>
      </c>
      <c r="C77" s="5" t="s">
        <v>12</v>
      </c>
      <c r="D77" s="6">
        <f t="shared" si="37"/>
        <v>0.11359999999999999</v>
      </c>
    </row>
    <row r="78" spans="1:4" x14ac:dyDescent="0.2">
      <c r="A78" s="1" t="s">
        <v>51</v>
      </c>
      <c r="B78" s="4">
        <v>91</v>
      </c>
      <c r="C78" s="5" t="s">
        <v>12</v>
      </c>
      <c r="D78" s="6">
        <f t="shared" si="37"/>
        <v>9.0999999999999998E-2</v>
      </c>
    </row>
    <row r="79" spans="1:4" x14ac:dyDescent="0.2">
      <c r="A79" s="1" t="s">
        <v>56</v>
      </c>
      <c r="B79" s="4">
        <v>105.6</v>
      </c>
      <c r="C79" s="5" t="s">
        <v>12</v>
      </c>
      <c r="D79" s="6">
        <f t="shared" si="37"/>
        <v>0.1056</v>
      </c>
    </row>
    <row r="80" spans="1:4" x14ac:dyDescent="0.2">
      <c r="A80" s="1" t="s">
        <v>188</v>
      </c>
      <c r="B80" s="4">
        <v>133</v>
      </c>
      <c r="C80" s="5" t="s">
        <v>12</v>
      </c>
      <c r="D80" s="6">
        <f t="shared" si="37"/>
        <v>0.13300000000000001</v>
      </c>
    </row>
    <row r="81" spans="1:4" x14ac:dyDescent="0.2">
      <c r="A81" s="1" t="s">
        <v>189</v>
      </c>
      <c r="B81" s="4">
        <v>147.6</v>
      </c>
      <c r="C81" s="5" t="s">
        <v>12</v>
      </c>
      <c r="D81" s="6">
        <f t="shared" si="37"/>
        <v>0.14759999999999998</v>
      </c>
    </row>
    <row r="82" spans="1:4" x14ac:dyDescent="0.2">
      <c r="A82" s="1" t="s">
        <v>190</v>
      </c>
      <c r="B82" s="4">
        <v>90</v>
      </c>
      <c r="C82" s="5" t="s">
        <v>12</v>
      </c>
      <c r="D82" s="6">
        <f t="shared" si="37"/>
        <v>0.09</v>
      </c>
    </row>
    <row r="83" spans="1:4" x14ac:dyDescent="0.2">
      <c r="A83" s="1" t="s">
        <v>191</v>
      </c>
      <c r="B83" s="4">
        <v>96</v>
      </c>
      <c r="C83" s="5" t="s">
        <v>12</v>
      </c>
      <c r="D83" s="6">
        <f t="shared" si="37"/>
        <v>9.6000000000000002E-2</v>
      </c>
    </row>
    <row r="84" spans="1:4" x14ac:dyDescent="0.2">
      <c r="A84" s="1" t="s">
        <v>192</v>
      </c>
      <c r="B84" s="3">
        <v>126.4</v>
      </c>
      <c r="C84" s="5" t="s">
        <v>12</v>
      </c>
      <c r="D84" s="6">
        <f t="shared" si="37"/>
        <v>0.12640000000000001</v>
      </c>
    </row>
    <row r="85" spans="1:4" x14ac:dyDescent="0.2">
      <c r="A85" s="1" t="s">
        <v>193</v>
      </c>
      <c r="B85" s="3">
        <v>119</v>
      </c>
      <c r="C85" s="5" t="s">
        <v>12</v>
      </c>
      <c r="D85" s="6">
        <f t="shared" si="37"/>
        <v>0.11899999999999999</v>
      </c>
    </row>
    <row r="86" spans="1:4" x14ac:dyDescent="0.2">
      <c r="A86" s="1" t="s">
        <v>194</v>
      </c>
      <c r="B86" s="3">
        <v>88</v>
      </c>
      <c r="C86" s="5" t="s">
        <v>12</v>
      </c>
      <c r="D86" s="6">
        <f t="shared" si="37"/>
        <v>8.7999999999999995E-2</v>
      </c>
    </row>
    <row r="87" spans="1:4" x14ac:dyDescent="0.2">
      <c r="A87" s="1" t="s">
        <v>195</v>
      </c>
      <c r="B87" s="3">
        <v>73</v>
      </c>
      <c r="C87" s="5" t="s">
        <v>12</v>
      </c>
      <c r="D87" s="6">
        <f t="shared" si="37"/>
        <v>7.2999999999999995E-2</v>
      </c>
    </row>
    <row r="88" spans="1:4" x14ac:dyDescent="0.2">
      <c r="A88" s="1" t="s">
        <v>92</v>
      </c>
      <c r="B88" s="3">
        <v>138</v>
      </c>
      <c r="C88" s="5" t="s">
        <v>12</v>
      </c>
      <c r="D88" s="6">
        <f t="shared" si="37"/>
        <v>0.13800000000000001</v>
      </c>
    </row>
    <row r="89" spans="1:4" x14ac:dyDescent="0.2">
      <c r="A89" s="1" t="s">
        <v>196</v>
      </c>
      <c r="B89" s="3">
        <v>77</v>
      </c>
      <c r="C89" s="5" t="s">
        <v>12</v>
      </c>
      <c r="D89" s="6">
        <f t="shared" si="37"/>
        <v>7.6999999999999999E-2</v>
      </c>
    </row>
    <row r="90" spans="1:4" x14ac:dyDescent="0.2">
      <c r="A90" s="1" t="s">
        <v>197</v>
      </c>
      <c r="B90" s="3">
        <v>109.2</v>
      </c>
      <c r="C90" s="5" t="s">
        <v>12</v>
      </c>
      <c r="D90" s="6">
        <f t="shared" si="37"/>
        <v>0.10920000000000001</v>
      </c>
    </row>
    <row r="91" spans="1:4" x14ac:dyDescent="0.2">
      <c r="A91" s="1" t="s">
        <v>198</v>
      </c>
      <c r="B91" s="3">
        <v>95</v>
      </c>
      <c r="C91" s="5" t="s">
        <v>12</v>
      </c>
      <c r="D91" s="6">
        <f t="shared" si="37"/>
        <v>9.5000000000000001E-2</v>
      </c>
    </row>
    <row r="92" spans="1:4" x14ac:dyDescent="0.2">
      <c r="A92" s="1" t="s">
        <v>84</v>
      </c>
      <c r="B92" s="3">
        <v>173</v>
      </c>
      <c r="C92" s="5" t="s">
        <v>12</v>
      </c>
      <c r="D92" s="6">
        <f t="shared" si="37"/>
        <v>0.17299999999999999</v>
      </c>
    </row>
    <row r="93" spans="1:4" x14ac:dyDescent="0.2">
      <c r="A93" s="1" t="s">
        <v>199</v>
      </c>
      <c r="B93" s="3">
        <v>198</v>
      </c>
      <c r="C93" s="5" t="s">
        <v>12</v>
      </c>
      <c r="D93" s="6">
        <f t="shared" si="37"/>
        <v>0.19800000000000001</v>
      </c>
    </row>
    <row r="94" spans="1:4" x14ac:dyDescent="0.2">
      <c r="A94" s="13" t="s">
        <v>87</v>
      </c>
      <c r="B94" s="3">
        <v>249</v>
      </c>
      <c r="C94" s="5" t="s">
        <v>12</v>
      </c>
      <c r="D94" s="6">
        <f t="shared" si="37"/>
        <v>0.249</v>
      </c>
    </row>
    <row r="95" spans="1:4" x14ac:dyDescent="0.2">
      <c r="A95" s="1" t="s">
        <v>59</v>
      </c>
      <c r="B95" s="3">
        <v>43.17</v>
      </c>
      <c r="C95" s="5" t="s">
        <v>12</v>
      </c>
      <c r="D95" s="6">
        <f t="shared" si="37"/>
        <v>4.317E-2</v>
      </c>
    </row>
    <row r="96" spans="1:4" x14ac:dyDescent="0.2">
      <c r="A96" s="1" t="s">
        <v>25</v>
      </c>
      <c r="B96" s="3">
        <v>18.84</v>
      </c>
      <c r="C96" s="5" t="s">
        <v>12</v>
      </c>
      <c r="D96" s="6">
        <f t="shared" si="37"/>
        <v>1.8839999999999999E-2</v>
      </c>
    </row>
    <row r="97" spans="1:4" x14ac:dyDescent="0.2">
      <c r="A97" s="1" t="s">
        <v>39</v>
      </c>
      <c r="B97" s="3">
        <v>56.15</v>
      </c>
      <c r="C97" s="5" t="s">
        <v>12</v>
      </c>
      <c r="D97" s="6">
        <f t="shared" si="37"/>
        <v>5.6149999999999999E-2</v>
      </c>
    </row>
    <row r="98" spans="1:4" x14ac:dyDescent="0.2">
      <c r="A98" s="1" t="s">
        <v>24</v>
      </c>
      <c r="B98" s="3">
        <v>76.06</v>
      </c>
      <c r="C98" s="5" t="s">
        <v>12</v>
      </c>
      <c r="D98" s="6">
        <f t="shared" si="37"/>
        <v>7.6060000000000003E-2</v>
      </c>
    </row>
    <row r="99" spans="1:4" x14ac:dyDescent="0.2">
      <c r="A99" s="1" t="s">
        <v>200</v>
      </c>
      <c r="B99" s="3">
        <v>43.5</v>
      </c>
      <c r="C99" s="5" t="s">
        <v>12</v>
      </c>
      <c r="D99" s="6">
        <f t="shared" si="37"/>
        <v>4.3499999999999997E-2</v>
      </c>
    </row>
    <row r="100" spans="1:4" x14ac:dyDescent="0.2">
      <c r="A100" s="1" t="s">
        <v>201</v>
      </c>
      <c r="B100" s="3">
        <v>123.7</v>
      </c>
      <c r="C100" s="5" t="s">
        <v>12</v>
      </c>
      <c r="D100" s="6">
        <f t="shared" si="37"/>
        <v>0.1237</v>
      </c>
    </row>
    <row r="101" spans="1:4" x14ac:dyDescent="0.2">
      <c r="A101" s="1" t="s">
        <v>28</v>
      </c>
      <c r="B101" s="3">
        <v>71</v>
      </c>
      <c r="C101" s="5" t="s">
        <v>12</v>
      </c>
      <c r="D101" s="6">
        <f t="shared" si="37"/>
        <v>7.0999999999999994E-2</v>
      </c>
    </row>
    <row r="102" spans="1:4" x14ac:dyDescent="0.2">
      <c r="A102" s="8" t="s">
        <v>68</v>
      </c>
      <c r="B102" s="14">
        <v>45</v>
      </c>
      <c r="C102" s="15" t="s">
        <v>12</v>
      </c>
      <c r="D102" s="16">
        <f t="shared" si="37"/>
        <v>4.4999999999999998E-2</v>
      </c>
    </row>
    <row r="103" spans="1:4" x14ac:dyDescent="0.2">
      <c r="A103" s="8" t="s">
        <v>34</v>
      </c>
      <c r="B103" s="14">
        <v>188</v>
      </c>
      <c r="C103" s="8" t="s">
        <v>12</v>
      </c>
      <c r="D103" s="14">
        <f t="shared" si="37"/>
        <v>0.188</v>
      </c>
    </row>
    <row r="104" spans="1:4" x14ac:dyDescent="0.2">
      <c r="A104" s="8" t="s">
        <v>202</v>
      </c>
      <c r="B104" s="8">
        <v>139.30000000000001</v>
      </c>
      <c r="C104" s="8" t="s">
        <v>12</v>
      </c>
      <c r="D104" s="14">
        <f t="shared" si="37"/>
        <v>0.13930000000000001</v>
      </c>
    </row>
    <row r="105" spans="1:4" x14ac:dyDescent="0.2">
      <c r="A105" s="8" t="s">
        <v>23</v>
      </c>
      <c r="B105" s="8">
        <v>0</v>
      </c>
      <c r="C105" s="8" t="s">
        <v>12</v>
      </c>
      <c r="D105" s="8">
        <f>B105/1000</f>
        <v>0</v>
      </c>
    </row>
    <row r="106" spans="1:4" x14ac:dyDescent="0.2">
      <c r="A106" s="1" t="s">
        <v>87</v>
      </c>
      <c r="B106" s="1">
        <v>249</v>
      </c>
      <c r="C106" s="1" t="s">
        <v>12</v>
      </c>
      <c r="D106" s="1">
        <f>B106/1000</f>
        <v>0.249</v>
      </c>
    </row>
    <row r="107" spans="1:4" x14ac:dyDescent="0.2">
      <c r="A107" s="1" t="s">
        <v>132</v>
      </c>
      <c r="B107" s="1"/>
      <c r="C107" s="1"/>
      <c r="D107" s="1">
        <f t="shared" ref="D107:D111" si="38">B107/1000</f>
        <v>0</v>
      </c>
    </row>
    <row r="108" spans="1:4" x14ac:dyDescent="0.2">
      <c r="A108" s="1" t="s">
        <v>53</v>
      </c>
      <c r="B108" s="1">
        <v>512</v>
      </c>
      <c r="C108" s="1" t="s">
        <v>12</v>
      </c>
      <c r="D108" s="1">
        <f t="shared" si="38"/>
        <v>0.51200000000000001</v>
      </c>
    </row>
    <row r="109" spans="1:4" x14ac:dyDescent="0.2">
      <c r="A109" s="8" t="s">
        <v>32</v>
      </c>
      <c r="B109" s="8">
        <v>612</v>
      </c>
      <c r="C109" s="8" t="s">
        <v>12</v>
      </c>
      <c r="D109" s="8">
        <f t="shared" si="38"/>
        <v>0.61199999999999999</v>
      </c>
    </row>
    <row r="110" spans="1:4" x14ac:dyDescent="0.2">
      <c r="A110" s="1" t="s">
        <v>203</v>
      </c>
      <c r="B110" s="1">
        <v>612</v>
      </c>
      <c r="C110" s="1" t="s">
        <v>12</v>
      </c>
      <c r="D110" s="1">
        <f t="shared" si="38"/>
        <v>0.61199999999999999</v>
      </c>
    </row>
    <row r="111" spans="1:4" x14ac:dyDescent="0.2">
      <c r="A111" s="8" t="s">
        <v>37</v>
      </c>
      <c r="B111" s="8">
        <v>20.149999999999999</v>
      </c>
      <c r="C111" s="8" t="s">
        <v>61</v>
      </c>
      <c r="D111" s="8">
        <f t="shared" si="38"/>
        <v>2.0149999999999998E-2</v>
      </c>
    </row>
    <row r="112" spans="1:4" x14ac:dyDescent="0.2">
      <c r="A112" s="8" t="s">
        <v>72</v>
      </c>
      <c r="B112" s="8">
        <v>14.6</v>
      </c>
      <c r="C112" s="8" t="s">
        <v>73</v>
      </c>
      <c r="D112" s="8">
        <f>B112*1</f>
        <v>14.6</v>
      </c>
    </row>
    <row r="113" spans="1:4" x14ac:dyDescent="0.2">
      <c r="A113" s="8" t="s">
        <v>254</v>
      </c>
      <c r="B113" s="8">
        <v>227.82</v>
      </c>
      <c r="C113" s="8" t="s">
        <v>12</v>
      </c>
      <c r="D113" s="8">
        <f>B113/1000</f>
        <v>0.22781999999999999</v>
      </c>
    </row>
    <row r="114" spans="1:4" x14ac:dyDescent="0.2">
      <c r="A114" s="1" t="s">
        <v>297</v>
      </c>
      <c r="B114" s="1">
        <v>264.85000000000002</v>
      </c>
      <c r="C114" s="1" t="s">
        <v>12</v>
      </c>
      <c r="D114" s="1">
        <f>B114/1000</f>
        <v>0.26485000000000003</v>
      </c>
    </row>
    <row r="115" spans="1:4" x14ac:dyDescent="0.2">
      <c r="A115" s="1" t="s">
        <v>292</v>
      </c>
      <c r="B115" s="1">
        <v>141.5</v>
      </c>
      <c r="C115" s="1" t="s">
        <v>12</v>
      </c>
      <c r="D115" s="1">
        <f>B115/1000</f>
        <v>0.14149999999999999</v>
      </c>
    </row>
  </sheetData>
  <mergeCells count="96">
    <mergeCell ref="AM52:AN52"/>
    <mergeCell ref="AJ56:AK56"/>
    <mergeCell ref="AM47:AN47"/>
    <mergeCell ref="AM48:AN48"/>
    <mergeCell ref="AM49:AN49"/>
    <mergeCell ref="AM50:AN50"/>
    <mergeCell ref="AM51:AN51"/>
    <mergeCell ref="AJ44:AN44"/>
    <mergeCell ref="AM45:AN45"/>
    <mergeCell ref="AM46:AN46"/>
    <mergeCell ref="AG26:AH26"/>
    <mergeCell ref="AG27:AH27"/>
    <mergeCell ref="AG28:AH28"/>
    <mergeCell ref="AG29:AH29"/>
    <mergeCell ref="AG30:AH30"/>
    <mergeCell ref="R53:S53"/>
    <mergeCell ref="X35:AB35"/>
    <mergeCell ref="AA36:AB36"/>
    <mergeCell ref="AA37:AB37"/>
    <mergeCell ref="AA38:AB38"/>
    <mergeCell ref="AA39:AB39"/>
    <mergeCell ref="AA40:AB40"/>
    <mergeCell ref="AA41:AB41"/>
    <mergeCell ref="AA42:AB42"/>
    <mergeCell ref="AA43:AB43"/>
    <mergeCell ref="X47:Y47"/>
    <mergeCell ref="U45:V45"/>
    <mergeCell ref="U46:V46"/>
    <mergeCell ref="U47:V47"/>
    <mergeCell ref="U48:V48"/>
    <mergeCell ref="U49:V49"/>
    <mergeCell ref="R40:V40"/>
    <mergeCell ref="U41:V41"/>
    <mergeCell ref="U42:V42"/>
    <mergeCell ref="U43:V43"/>
    <mergeCell ref="U44:V44"/>
    <mergeCell ref="F54:G54"/>
    <mergeCell ref="L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L50:M50"/>
    <mergeCell ref="I50:J50"/>
    <mergeCell ref="I48:J48"/>
    <mergeCell ref="I43:J43"/>
    <mergeCell ref="I44:J44"/>
    <mergeCell ref="AJ22:AN22"/>
    <mergeCell ref="AJ37:AN37"/>
    <mergeCell ref="AJ32:AN32"/>
    <mergeCell ref="F41:J41"/>
    <mergeCell ref="I42:J42"/>
    <mergeCell ref="R33:V33"/>
    <mergeCell ref="L30:P30"/>
    <mergeCell ref="F34:J34"/>
    <mergeCell ref="AD22:AH22"/>
    <mergeCell ref="AG23:AH23"/>
    <mergeCell ref="AG24:AH24"/>
    <mergeCell ref="AG25:AH25"/>
    <mergeCell ref="AD34:AE34"/>
    <mergeCell ref="I45:J45"/>
    <mergeCell ref="I46:J46"/>
    <mergeCell ref="I47:J47"/>
    <mergeCell ref="I49:J49"/>
    <mergeCell ref="AD1:AH1"/>
    <mergeCell ref="AD3:AH3"/>
    <mergeCell ref="AD12:AH12"/>
    <mergeCell ref="AD17:AH17"/>
    <mergeCell ref="X16:AB16"/>
    <mergeCell ref="X24:AB24"/>
    <mergeCell ref="X29:AB29"/>
    <mergeCell ref="R1:V1"/>
    <mergeCell ref="R3:V3"/>
    <mergeCell ref="R13:V13"/>
    <mergeCell ref="R21:V21"/>
    <mergeCell ref="R28:V28"/>
    <mergeCell ref="AJ1:AN1"/>
    <mergeCell ref="AJ3:AN3"/>
    <mergeCell ref="AJ15:AN15"/>
    <mergeCell ref="X1:AB1"/>
    <mergeCell ref="X3:AB3"/>
    <mergeCell ref="L1:P1"/>
    <mergeCell ref="L3:P3"/>
    <mergeCell ref="L10:P10"/>
    <mergeCell ref="L18:P18"/>
    <mergeCell ref="L25:P25"/>
    <mergeCell ref="F1:J1"/>
    <mergeCell ref="F3:J3"/>
    <mergeCell ref="F14:J14"/>
    <mergeCell ref="F22:J22"/>
    <mergeCell ref="F29:J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A771-F11B-E445-8811-730550C9A5F8}">
  <dimension ref="A1:AZ114"/>
  <sheetViews>
    <sheetView topLeftCell="AH18" zoomScaleNormal="150" zoomScaleSheetLayoutView="100" workbookViewId="0">
      <selection activeCell="AV52" sqref="AV52"/>
    </sheetView>
  </sheetViews>
  <sheetFormatPr defaultRowHeight="15" x14ac:dyDescent="0.2"/>
  <cols>
    <col min="1" max="1" width="27.3046875" customWidth="1"/>
    <col min="3" max="3" width="5.6484375" customWidth="1"/>
    <col min="6" max="6" width="17.21875" customWidth="1"/>
    <col min="7" max="7" width="12.5078125" bestFit="1" customWidth="1"/>
    <col min="8" max="8" width="5.109375" customWidth="1"/>
    <col min="12" max="12" width="21.7890625" customWidth="1"/>
    <col min="14" max="14" width="3.359375" customWidth="1"/>
    <col min="18" max="18" width="26.76953125" customWidth="1"/>
    <col min="19" max="19" width="12.5078125" bestFit="1" customWidth="1"/>
    <col min="20" max="20" width="4.03515625" customWidth="1"/>
    <col min="24" max="24" width="20.984375" customWidth="1"/>
    <col min="26" max="26" width="4.3046875" customWidth="1"/>
    <col min="30" max="30" width="26.09765625" customWidth="1"/>
    <col min="32" max="32" width="5.91796875" customWidth="1"/>
    <col min="36" max="36" width="18.0234375" customWidth="1"/>
    <col min="38" max="38" width="3.359375" customWidth="1"/>
    <col min="42" max="42" width="19.234375" customWidth="1"/>
    <col min="43" max="43" width="12.5078125" bestFit="1" customWidth="1"/>
    <col min="48" max="48" width="19.50390625" customWidth="1"/>
  </cols>
  <sheetData>
    <row r="1" spans="1:52" ht="27.75" x14ac:dyDescent="0.2">
      <c r="A1" s="9" t="s">
        <v>0</v>
      </c>
      <c r="B1" s="28" t="s">
        <v>1</v>
      </c>
      <c r="C1" s="11" t="s">
        <v>2</v>
      </c>
      <c r="D1" s="12" t="s">
        <v>3</v>
      </c>
      <c r="F1" s="95" t="s">
        <v>4</v>
      </c>
      <c r="G1" s="96"/>
      <c r="H1" s="96"/>
      <c r="I1" s="96"/>
      <c r="J1" s="97"/>
      <c r="L1" s="86" t="s">
        <v>7</v>
      </c>
      <c r="M1" s="86"/>
      <c r="N1" s="86"/>
      <c r="O1" s="86"/>
      <c r="P1" s="86"/>
      <c r="R1" s="78" t="s">
        <v>8</v>
      </c>
      <c r="S1" s="78"/>
      <c r="T1" s="78"/>
      <c r="U1" s="78"/>
      <c r="V1" s="78"/>
      <c r="X1" s="115" t="s">
        <v>331</v>
      </c>
      <c r="Y1" s="115"/>
      <c r="Z1" s="115"/>
      <c r="AA1" s="115"/>
      <c r="AB1" s="115"/>
      <c r="AD1" s="108" t="s">
        <v>204</v>
      </c>
      <c r="AE1" s="108"/>
      <c r="AF1" s="108"/>
      <c r="AG1" s="108"/>
      <c r="AH1" s="108"/>
      <c r="AJ1" s="86" t="s">
        <v>332</v>
      </c>
      <c r="AK1" s="86"/>
      <c r="AL1" s="86"/>
      <c r="AM1" s="86"/>
      <c r="AN1" s="86"/>
      <c r="AP1" s="116" t="s">
        <v>281</v>
      </c>
      <c r="AQ1" s="116"/>
      <c r="AR1" s="116"/>
      <c r="AS1" s="116"/>
      <c r="AT1" s="116"/>
      <c r="AV1" s="105" t="s">
        <v>282</v>
      </c>
      <c r="AW1" s="105"/>
      <c r="AX1" s="105"/>
      <c r="AY1" s="105"/>
      <c r="AZ1" s="105"/>
    </row>
    <row r="2" spans="1:52" x14ac:dyDescent="0.2">
      <c r="A2" s="1" t="s">
        <v>11</v>
      </c>
      <c r="B2" s="3">
        <v>69.03</v>
      </c>
      <c r="C2" s="5" t="s">
        <v>12</v>
      </c>
      <c r="D2" s="6">
        <f>B2/1000</f>
        <v>6.9030000000000008E-2</v>
      </c>
      <c r="F2" s="22"/>
      <c r="G2" s="23"/>
      <c r="H2" s="23"/>
      <c r="I2" s="23"/>
      <c r="J2" s="24"/>
    </row>
    <row r="3" spans="1:52" x14ac:dyDescent="0.2">
      <c r="A3" s="1" t="s">
        <v>13</v>
      </c>
      <c r="B3" s="3">
        <v>129.1</v>
      </c>
      <c r="C3" s="5" t="s">
        <v>12</v>
      </c>
      <c r="D3" s="6">
        <f t="shared" ref="D3:D66" si="0">B3/1000</f>
        <v>0.12909999999999999</v>
      </c>
      <c r="F3" s="92" t="s">
        <v>14</v>
      </c>
      <c r="G3" s="93"/>
      <c r="H3" s="93"/>
      <c r="I3" s="93"/>
      <c r="J3" s="94"/>
      <c r="L3" s="75" t="s">
        <v>17</v>
      </c>
      <c r="M3" s="76"/>
      <c r="N3" s="76"/>
      <c r="O3" s="76"/>
      <c r="P3" s="77"/>
      <c r="R3" s="79" t="s">
        <v>18</v>
      </c>
      <c r="S3" s="80"/>
      <c r="T3" s="80"/>
      <c r="U3" s="80"/>
      <c r="V3" s="81"/>
      <c r="X3" s="89" t="s">
        <v>333</v>
      </c>
      <c r="Y3" s="90"/>
      <c r="Z3" s="90"/>
      <c r="AA3" s="90"/>
      <c r="AB3" s="91"/>
      <c r="AD3" s="106" t="s">
        <v>334</v>
      </c>
      <c r="AE3" s="106"/>
      <c r="AF3" s="106"/>
      <c r="AG3" s="106"/>
      <c r="AH3" s="106"/>
      <c r="AJ3" t="s">
        <v>335</v>
      </c>
      <c r="AP3" s="117" t="s">
        <v>287</v>
      </c>
      <c r="AQ3" s="117"/>
      <c r="AR3" s="117"/>
      <c r="AS3" s="117"/>
      <c r="AT3" s="117"/>
      <c r="AV3" s="111" t="s">
        <v>288</v>
      </c>
      <c r="AW3" s="111"/>
      <c r="AX3" s="111"/>
      <c r="AY3" s="111"/>
      <c r="AZ3" s="111"/>
    </row>
    <row r="4" spans="1:52" x14ac:dyDescent="0.2">
      <c r="A4" s="1" t="s">
        <v>21</v>
      </c>
      <c r="B4" s="3">
        <v>11.59</v>
      </c>
      <c r="C4" s="5" t="s">
        <v>12</v>
      </c>
      <c r="D4" s="6">
        <f t="shared" si="0"/>
        <v>1.159E-2</v>
      </c>
      <c r="F4" s="1" t="s">
        <v>21</v>
      </c>
      <c r="G4" s="1">
        <v>2400</v>
      </c>
      <c r="H4" s="1" t="s">
        <v>22</v>
      </c>
      <c r="I4" s="1">
        <f>_xlfn.XLOOKUP(F4,A2:A103,D2:D103)</f>
        <v>1.159E-2</v>
      </c>
      <c r="J4" s="17">
        <f>G4*I4</f>
        <v>27.815999999999999</v>
      </c>
      <c r="L4" s="1" t="s">
        <v>24</v>
      </c>
      <c r="M4" s="1">
        <v>1071</v>
      </c>
      <c r="N4" s="1" t="s">
        <v>22</v>
      </c>
      <c r="O4" s="1">
        <f>_xlfn.XLOOKUP(L4,$A$2:$A$112,$D$2:$D$112)</f>
        <v>7.6060000000000003E-2</v>
      </c>
      <c r="P4" s="17">
        <f>M4*O4</f>
        <v>81.460260000000005</v>
      </c>
      <c r="R4" s="1" t="s">
        <v>24</v>
      </c>
      <c r="S4" s="1">
        <v>4160</v>
      </c>
      <c r="T4" s="1" t="s">
        <v>22</v>
      </c>
      <c r="U4" s="1">
        <f>_xlfn.XLOOKUP(R4,$A$2:$A$112,$D$2:$D$112)</f>
        <v>7.6060000000000003E-2</v>
      </c>
      <c r="V4" s="17">
        <f>S4*U4</f>
        <v>316.40960000000001</v>
      </c>
      <c r="X4" s="1" t="s">
        <v>21</v>
      </c>
      <c r="Y4" s="1">
        <v>1000</v>
      </c>
      <c r="Z4" s="1" t="s">
        <v>22</v>
      </c>
      <c r="AA4" s="1">
        <f>_xlfn.XLOOKUP(X4,$A$2:$A$112,$D$2:$D$112)</f>
        <v>1.159E-2</v>
      </c>
      <c r="AB4" s="17">
        <f>AA4*Y4</f>
        <v>11.59</v>
      </c>
      <c r="AD4" s="1" t="s">
        <v>253</v>
      </c>
      <c r="AE4" s="1">
        <v>6.4</v>
      </c>
      <c r="AF4" s="1" t="s">
        <v>22</v>
      </c>
      <c r="AG4" s="1">
        <v>5.3740000000000003E-2</v>
      </c>
      <c r="AH4" s="1">
        <f>AG4*AE4</f>
        <v>0.34393600000000002</v>
      </c>
      <c r="AJ4" t="s">
        <v>336</v>
      </c>
      <c r="AP4" s="1" t="s">
        <v>56</v>
      </c>
      <c r="AQ4" s="1">
        <v>2500</v>
      </c>
      <c r="AR4" s="1" t="s">
        <v>22</v>
      </c>
      <c r="AS4" s="1">
        <f>_xlfn.XLOOKUP(AP4,$A$2:$A$113,$D$2:$D$113)</f>
        <v>0.1056</v>
      </c>
      <c r="AT4" s="1">
        <f>AS4*AQ4</f>
        <v>264</v>
      </c>
      <c r="AV4" s="1" t="s">
        <v>26</v>
      </c>
      <c r="AW4" s="1">
        <v>600</v>
      </c>
      <c r="AX4" s="1" t="s">
        <v>22</v>
      </c>
      <c r="AY4" s="1">
        <f>_xlfn.XLOOKUP(AV4,$A$2:$A$113,$D$2:$D$113)</f>
        <v>1.315E-2</v>
      </c>
      <c r="AZ4" s="1">
        <f>AY4*AW4</f>
        <v>7.8900000000000006</v>
      </c>
    </row>
    <row r="5" spans="1:52" x14ac:dyDescent="0.2">
      <c r="A5" s="1" t="s">
        <v>26</v>
      </c>
      <c r="B5" s="3">
        <v>13.15</v>
      </c>
      <c r="C5" s="5" t="s">
        <v>12</v>
      </c>
      <c r="D5" s="6">
        <f t="shared" si="0"/>
        <v>1.315E-2</v>
      </c>
      <c r="F5" s="1" t="s">
        <v>27</v>
      </c>
      <c r="G5" s="1">
        <v>924</v>
      </c>
      <c r="H5" s="1" t="s">
        <v>22</v>
      </c>
      <c r="I5" s="1">
        <f>_xlfn.XLOOKUP(F5,A2:A103,D2:D103)</f>
        <v>1.6750000000000001E-2</v>
      </c>
      <c r="J5" s="17">
        <f t="shared" ref="J5:J8" si="1">G5*I5</f>
        <v>15.477</v>
      </c>
      <c r="L5" s="1" t="s">
        <v>28</v>
      </c>
      <c r="M5" s="1">
        <v>187</v>
      </c>
      <c r="N5" s="1" t="s">
        <v>22</v>
      </c>
      <c r="O5" s="1">
        <f t="shared" ref="O5:O9" si="2">_xlfn.XLOOKUP(L5,$A$2:$A$112,$D$2:$D$112)</f>
        <v>7.0999999999999994E-2</v>
      </c>
      <c r="P5" s="17">
        <f t="shared" ref="P5:P9" si="3">M5*O5</f>
        <v>13.276999999999999</v>
      </c>
      <c r="R5" s="1" t="s">
        <v>28</v>
      </c>
      <c r="S5" s="1">
        <v>2600</v>
      </c>
      <c r="T5" s="1" t="s">
        <v>22</v>
      </c>
      <c r="U5" s="1">
        <f t="shared" ref="U5:U13" si="4">_xlfn.XLOOKUP(R5,$A$2:$A$112,$D$2:$D$112)</f>
        <v>7.0999999999999994E-2</v>
      </c>
      <c r="V5" s="17">
        <f t="shared" ref="V5:V13" si="5">S5*U5</f>
        <v>184.6</v>
      </c>
      <c r="X5" s="1" t="s">
        <v>26</v>
      </c>
      <c r="Y5" s="1">
        <v>225</v>
      </c>
      <c r="Z5" s="1" t="s">
        <v>22</v>
      </c>
      <c r="AA5" s="1">
        <f t="shared" ref="AA5:AA11" si="6">_xlfn.XLOOKUP(X5,$A$2:$A$112,$D$2:$D$112)</f>
        <v>1.315E-2</v>
      </c>
      <c r="AB5" s="17">
        <f t="shared" ref="AB5:AB11" si="7">AA5*Y5</f>
        <v>2.9587500000000002</v>
      </c>
      <c r="AD5" s="1" t="s">
        <v>261</v>
      </c>
      <c r="AE5" s="1">
        <v>6.2</v>
      </c>
      <c r="AF5" s="1" t="s">
        <v>22</v>
      </c>
      <c r="AG5" s="1">
        <v>0.18978999999999999</v>
      </c>
      <c r="AH5" s="1">
        <f>AG5*AE5</f>
        <v>1.176698</v>
      </c>
      <c r="AJ5" t="s">
        <v>337</v>
      </c>
      <c r="AP5" s="1" t="s">
        <v>26</v>
      </c>
      <c r="AQ5" s="1">
        <v>500</v>
      </c>
      <c r="AR5" s="1" t="s">
        <v>22</v>
      </c>
      <c r="AS5" s="1">
        <f t="shared" ref="AS5:AS6" si="8">_xlfn.XLOOKUP(AP5,$A$2:$A$113,$D$2:$D$113)</f>
        <v>1.315E-2</v>
      </c>
      <c r="AT5" s="1">
        <f t="shared" ref="AT5:AT6" si="9">AS5*AQ5</f>
        <v>6.5750000000000002</v>
      </c>
      <c r="AV5" s="1" t="s">
        <v>29</v>
      </c>
      <c r="AW5" s="1">
        <v>600</v>
      </c>
      <c r="AX5" s="1" t="s">
        <v>22</v>
      </c>
      <c r="AY5" s="1">
        <f t="shared" ref="AY5:AY9" si="10">_xlfn.XLOOKUP(AV5,$A$2:$A$113,$D$2:$D$113)</f>
        <v>8.1000000000000003E-2</v>
      </c>
      <c r="AZ5" s="1">
        <f t="shared" ref="AZ5:AZ9" si="11">AY5*AW5</f>
        <v>48.6</v>
      </c>
    </row>
    <row r="6" spans="1:52" x14ac:dyDescent="0.2">
      <c r="A6" s="1" t="s">
        <v>31</v>
      </c>
      <c r="B6" s="3">
        <v>24.55</v>
      </c>
      <c r="C6" s="5" t="s">
        <v>12</v>
      </c>
      <c r="D6" s="6">
        <f t="shared" si="0"/>
        <v>2.4550000000000002E-2</v>
      </c>
      <c r="F6" s="1" t="s">
        <v>24</v>
      </c>
      <c r="G6" s="1">
        <v>1008</v>
      </c>
      <c r="H6" s="1" t="s">
        <v>22</v>
      </c>
      <c r="I6" s="1">
        <f>_xlfn.XLOOKUP(F6,A4:A105,D4:D105)</f>
        <v>7.6060000000000003E-2</v>
      </c>
      <c r="J6" s="17">
        <f t="shared" si="1"/>
        <v>76.668480000000002</v>
      </c>
      <c r="L6" s="1" t="s">
        <v>26</v>
      </c>
      <c r="M6" s="1">
        <v>561</v>
      </c>
      <c r="N6" s="1" t="s">
        <v>22</v>
      </c>
      <c r="O6" s="1">
        <f t="shared" si="2"/>
        <v>1.315E-2</v>
      </c>
      <c r="P6" s="17">
        <f t="shared" si="3"/>
        <v>7.3771500000000003</v>
      </c>
      <c r="R6" s="1" t="s">
        <v>32</v>
      </c>
      <c r="S6" s="1">
        <v>5</v>
      </c>
      <c r="T6" s="1" t="s">
        <v>22</v>
      </c>
      <c r="U6" s="1">
        <f t="shared" si="4"/>
        <v>0.61199999999999999</v>
      </c>
      <c r="V6" s="17">
        <f t="shared" si="5"/>
        <v>3.06</v>
      </c>
      <c r="X6" s="1" t="s">
        <v>25</v>
      </c>
      <c r="Y6" s="1">
        <v>550</v>
      </c>
      <c r="Z6" s="1" t="s">
        <v>22</v>
      </c>
      <c r="AA6" s="1">
        <f t="shared" si="6"/>
        <v>1.8839999999999999E-2</v>
      </c>
      <c r="AB6" s="17">
        <f t="shared" si="7"/>
        <v>10.362</v>
      </c>
      <c r="AD6" s="1" t="s">
        <v>41</v>
      </c>
      <c r="AE6" s="1"/>
      <c r="AF6" s="1"/>
      <c r="AG6" s="1"/>
      <c r="AH6" s="21">
        <f>SUM(AH4:AH5)</f>
        <v>1.520634</v>
      </c>
      <c r="AJ6" t="s">
        <v>338</v>
      </c>
      <c r="AP6" s="1" t="s">
        <v>90</v>
      </c>
      <c r="AQ6" s="1">
        <v>50</v>
      </c>
      <c r="AR6" s="1" t="s">
        <v>22</v>
      </c>
      <c r="AS6" s="1">
        <f t="shared" si="8"/>
        <v>0.93</v>
      </c>
      <c r="AT6" s="1">
        <f t="shared" si="9"/>
        <v>46.5</v>
      </c>
      <c r="AV6" s="1" t="s">
        <v>39</v>
      </c>
      <c r="AW6" s="1">
        <v>200</v>
      </c>
      <c r="AX6" s="1" t="s">
        <v>22</v>
      </c>
      <c r="AY6" s="1">
        <f t="shared" si="10"/>
        <v>5.6149999999999999E-2</v>
      </c>
      <c r="AZ6" s="1">
        <f t="shared" si="11"/>
        <v>11.23</v>
      </c>
    </row>
    <row r="7" spans="1:52" x14ac:dyDescent="0.2">
      <c r="A7" s="1" t="s">
        <v>27</v>
      </c>
      <c r="B7" s="3">
        <v>16.75</v>
      </c>
      <c r="C7" s="5" t="s">
        <v>12</v>
      </c>
      <c r="D7" s="6">
        <f t="shared" si="0"/>
        <v>1.6750000000000001E-2</v>
      </c>
      <c r="F7" s="1" t="s">
        <v>34</v>
      </c>
      <c r="G7" s="1">
        <v>804</v>
      </c>
      <c r="H7" s="1" t="s">
        <v>22</v>
      </c>
      <c r="I7" s="1">
        <f>_xlfn.XLOOKUP(F7,A5:A106,D5:D106)</f>
        <v>0.188</v>
      </c>
      <c r="J7" s="17">
        <f t="shared" si="1"/>
        <v>151.15199999999999</v>
      </c>
      <c r="L7" s="1" t="s">
        <v>21</v>
      </c>
      <c r="M7" s="1">
        <v>1360</v>
      </c>
      <c r="N7" s="1" t="s">
        <v>22</v>
      </c>
      <c r="O7" s="1">
        <f t="shared" si="2"/>
        <v>1.159E-2</v>
      </c>
      <c r="P7" s="17">
        <f t="shared" si="3"/>
        <v>15.7624</v>
      </c>
      <c r="R7" s="1" t="s">
        <v>26</v>
      </c>
      <c r="S7" s="1">
        <v>3120</v>
      </c>
      <c r="T7" s="1" t="s">
        <v>22</v>
      </c>
      <c r="U7" s="1">
        <f t="shared" si="4"/>
        <v>1.315E-2</v>
      </c>
      <c r="V7" s="17">
        <f t="shared" si="5"/>
        <v>41.027999999999999</v>
      </c>
      <c r="X7" s="1" t="s">
        <v>13</v>
      </c>
      <c r="Y7" s="1">
        <v>55</v>
      </c>
      <c r="Z7" s="1" t="s">
        <v>22</v>
      </c>
      <c r="AA7" s="1">
        <f t="shared" si="6"/>
        <v>0.12909999999999999</v>
      </c>
      <c r="AB7" s="17">
        <f t="shared" si="7"/>
        <v>7.1004999999999994</v>
      </c>
      <c r="AP7" s="1" t="s">
        <v>41</v>
      </c>
      <c r="AQ7" s="1">
        <f>SUM(AQ4:AQ6)</f>
        <v>3050</v>
      </c>
      <c r="AR7" s="1" t="s">
        <v>22</v>
      </c>
      <c r="AS7" s="1"/>
      <c r="AT7" s="1">
        <f>SUM(AT4:AT6)</f>
        <v>317.07499999999999</v>
      </c>
      <c r="AV7" s="1" t="s">
        <v>30</v>
      </c>
      <c r="AW7" s="1">
        <v>5</v>
      </c>
      <c r="AX7" s="1" t="s">
        <v>22</v>
      </c>
      <c r="AY7" s="1">
        <f t="shared" si="10"/>
        <v>5.2500000000000003E-3</v>
      </c>
      <c r="AZ7" s="1">
        <f t="shared" si="11"/>
        <v>2.6250000000000002E-2</v>
      </c>
    </row>
    <row r="8" spans="1:52" x14ac:dyDescent="0.2">
      <c r="A8" s="1" t="s">
        <v>35</v>
      </c>
      <c r="B8" s="3">
        <v>49.5</v>
      </c>
      <c r="C8" s="5" t="s">
        <v>12</v>
      </c>
      <c r="D8" s="6">
        <f t="shared" si="0"/>
        <v>4.9500000000000002E-2</v>
      </c>
      <c r="F8" s="8" t="s">
        <v>30</v>
      </c>
      <c r="G8" s="8">
        <v>12</v>
      </c>
      <c r="H8" s="8" t="s">
        <v>22</v>
      </c>
      <c r="I8" s="8">
        <f>_xlfn.XLOOKUP(F8,A6:A107,D6:D107)</f>
        <v>5.2500000000000003E-3</v>
      </c>
      <c r="J8" s="18">
        <f t="shared" si="1"/>
        <v>6.3E-2</v>
      </c>
      <c r="L8" s="8" t="s">
        <v>30</v>
      </c>
      <c r="M8" s="8">
        <v>12</v>
      </c>
      <c r="N8" s="8" t="s">
        <v>22</v>
      </c>
      <c r="O8" s="1">
        <f t="shared" si="2"/>
        <v>5.2500000000000003E-3</v>
      </c>
      <c r="P8" s="18">
        <f t="shared" si="3"/>
        <v>6.3E-2</v>
      </c>
      <c r="R8" s="8" t="s">
        <v>31</v>
      </c>
      <c r="S8" s="8">
        <v>4160</v>
      </c>
      <c r="T8" s="8" t="s">
        <v>22</v>
      </c>
      <c r="U8" s="1">
        <f t="shared" si="4"/>
        <v>2.4550000000000002E-2</v>
      </c>
      <c r="V8" s="18">
        <f t="shared" si="5"/>
        <v>102.12800000000001</v>
      </c>
      <c r="X8" s="1" t="s">
        <v>11</v>
      </c>
      <c r="Y8" s="8">
        <v>10</v>
      </c>
      <c r="Z8" s="1" t="s">
        <v>22</v>
      </c>
      <c r="AA8" s="1">
        <f t="shared" si="6"/>
        <v>6.9030000000000008E-2</v>
      </c>
      <c r="AB8" s="17">
        <f t="shared" si="7"/>
        <v>0.69030000000000014</v>
      </c>
      <c r="AD8" s="106" t="s">
        <v>127</v>
      </c>
      <c r="AE8" s="106"/>
      <c r="AF8" s="106"/>
      <c r="AG8" s="106"/>
      <c r="AH8" s="106"/>
      <c r="AJ8" t="s">
        <v>591</v>
      </c>
      <c r="AK8">
        <v>60</v>
      </c>
      <c r="AL8" t="s">
        <v>129</v>
      </c>
      <c r="AM8" t="s">
        <v>592</v>
      </c>
      <c r="AP8" s="1" t="s">
        <v>43</v>
      </c>
      <c r="AQ8" s="1"/>
      <c r="AR8" s="1"/>
      <c r="AS8" s="1"/>
      <c r="AT8" s="1">
        <f>AT7/AQ7</f>
        <v>0.10395901639344261</v>
      </c>
      <c r="AV8" s="1" t="s">
        <v>24</v>
      </c>
      <c r="AW8" s="1">
        <v>210</v>
      </c>
      <c r="AX8" s="1" t="s">
        <v>22</v>
      </c>
      <c r="AY8" s="1">
        <f t="shared" si="10"/>
        <v>7.6060000000000003E-2</v>
      </c>
      <c r="AZ8" s="1">
        <f t="shared" si="11"/>
        <v>15.9726</v>
      </c>
    </row>
    <row r="9" spans="1:52" x14ac:dyDescent="0.2">
      <c r="A9" s="1" t="s">
        <v>40</v>
      </c>
      <c r="B9" s="3">
        <v>83.99</v>
      </c>
      <c r="C9" s="5" t="s">
        <v>12</v>
      </c>
      <c r="D9" s="6">
        <f t="shared" si="0"/>
        <v>8.3989999999999995E-2</v>
      </c>
      <c r="F9" s="1" t="s">
        <v>41</v>
      </c>
      <c r="G9" s="1">
        <f>SUM(G4:G8)</f>
        <v>5148</v>
      </c>
      <c r="H9" s="1" t="s">
        <v>22</v>
      </c>
      <c r="I9" s="1"/>
      <c r="J9" s="17">
        <f>SUM(J4:J8)</f>
        <v>271.17647999999997</v>
      </c>
      <c r="L9" s="1" t="s">
        <v>38</v>
      </c>
      <c r="M9" s="1">
        <v>213</v>
      </c>
      <c r="N9" s="1" t="s">
        <v>22</v>
      </c>
      <c r="O9" s="1">
        <f t="shared" si="2"/>
        <v>0.38500000000000001</v>
      </c>
      <c r="P9" s="18">
        <f t="shared" si="3"/>
        <v>82.004999999999995</v>
      </c>
      <c r="R9" s="1" t="s">
        <v>21</v>
      </c>
      <c r="S9" s="1">
        <v>8320</v>
      </c>
      <c r="T9" s="8" t="s">
        <v>22</v>
      </c>
      <c r="U9" s="1">
        <f t="shared" si="4"/>
        <v>1.159E-2</v>
      </c>
      <c r="V9" s="18">
        <f t="shared" si="5"/>
        <v>96.428799999999995</v>
      </c>
      <c r="X9" s="8" t="s">
        <v>30</v>
      </c>
      <c r="Y9" s="8">
        <v>3</v>
      </c>
      <c r="Z9" s="1" t="s">
        <v>22</v>
      </c>
      <c r="AA9" s="1">
        <f t="shared" si="6"/>
        <v>5.2500000000000003E-3</v>
      </c>
      <c r="AB9" s="17">
        <f t="shared" si="7"/>
        <v>1.575E-2</v>
      </c>
      <c r="AD9" s="1" t="s">
        <v>269</v>
      </c>
      <c r="AE9" s="1">
        <v>30</v>
      </c>
      <c r="AF9" s="1" t="s">
        <v>129</v>
      </c>
      <c r="AG9" s="55" t="s">
        <v>270</v>
      </c>
      <c r="AH9" s="56"/>
      <c r="AV9" s="1" t="s">
        <v>189</v>
      </c>
      <c r="AW9" s="1">
        <v>1130</v>
      </c>
      <c r="AX9" s="1" t="s">
        <v>22</v>
      </c>
      <c r="AY9" s="1">
        <f t="shared" si="10"/>
        <v>0.14759999999999998</v>
      </c>
      <c r="AZ9" s="1">
        <f t="shared" si="11"/>
        <v>166.78799999999998</v>
      </c>
    </row>
    <row r="10" spans="1:52" x14ac:dyDescent="0.2">
      <c r="A10" s="1" t="s">
        <v>42</v>
      </c>
      <c r="B10" s="3">
        <v>11.59</v>
      </c>
      <c r="C10" s="5" t="s">
        <v>12</v>
      </c>
      <c r="D10" s="6">
        <f t="shared" si="0"/>
        <v>1.159E-2</v>
      </c>
      <c r="F10" s="1" t="s">
        <v>43</v>
      </c>
      <c r="G10" s="1"/>
      <c r="H10" s="1"/>
      <c r="I10" s="1"/>
      <c r="J10" s="20">
        <f>J9/G9</f>
        <v>5.2676083916083909E-2</v>
      </c>
      <c r="L10" s="1" t="s">
        <v>41</v>
      </c>
      <c r="M10" s="1">
        <f>SUM(M4:M9)</f>
        <v>3404</v>
      </c>
      <c r="N10" s="1" t="s">
        <v>22</v>
      </c>
      <c r="O10" s="1"/>
      <c r="P10" s="17">
        <f>SUM(P4:P9)</f>
        <v>199.94481000000002</v>
      </c>
      <c r="R10" s="1" t="s">
        <v>30</v>
      </c>
      <c r="S10" s="1">
        <v>104</v>
      </c>
      <c r="T10" s="8" t="s">
        <v>22</v>
      </c>
      <c r="U10" s="1">
        <f t="shared" si="4"/>
        <v>5.2500000000000003E-3</v>
      </c>
      <c r="V10" s="18">
        <f t="shared" si="5"/>
        <v>0.54600000000000004</v>
      </c>
      <c r="X10" s="8" t="s">
        <v>24</v>
      </c>
      <c r="Y10" s="8">
        <v>160</v>
      </c>
      <c r="Z10" s="1" t="s">
        <v>22</v>
      </c>
      <c r="AA10" s="1">
        <f t="shared" si="6"/>
        <v>7.6060000000000003E-2</v>
      </c>
      <c r="AB10" s="17">
        <f t="shared" si="7"/>
        <v>12.169600000000001</v>
      </c>
      <c r="AD10" s="1" t="s">
        <v>271</v>
      </c>
      <c r="AE10" s="1">
        <v>60</v>
      </c>
      <c r="AF10" s="1" t="s">
        <v>129</v>
      </c>
      <c r="AG10" s="55" t="s">
        <v>270</v>
      </c>
      <c r="AH10" s="56"/>
      <c r="AP10" s="117" t="s">
        <v>293</v>
      </c>
      <c r="AQ10" s="117"/>
      <c r="AR10" s="117"/>
      <c r="AS10" s="117"/>
      <c r="AT10" s="117"/>
      <c r="AV10" s="1" t="s">
        <v>41</v>
      </c>
      <c r="AW10" s="1">
        <f>SUM(AW4:AW9)</f>
        <v>2745</v>
      </c>
      <c r="AX10" s="1" t="s">
        <v>22</v>
      </c>
      <c r="AY10" s="1"/>
      <c r="AZ10" s="1">
        <f>SUM(AZ4:AZ9)</f>
        <v>250.50684999999999</v>
      </c>
    </row>
    <row r="11" spans="1:52" x14ac:dyDescent="0.2">
      <c r="A11" s="1" t="s">
        <v>45</v>
      </c>
      <c r="B11" s="3">
        <v>14.11</v>
      </c>
      <c r="C11" s="5" t="s">
        <v>12</v>
      </c>
      <c r="D11" s="6">
        <f t="shared" si="0"/>
        <v>1.4109999999999999E-2</v>
      </c>
      <c r="J11" s="19"/>
      <c r="L11" s="1" t="s">
        <v>43</v>
      </c>
      <c r="M11" s="1"/>
      <c r="N11" s="1" t="s">
        <v>22</v>
      </c>
      <c r="O11" s="1"/>
      <c r="P11" s="1">
        <f>P10/M10</f>
        <v>5.8738193301997657E-2</v>
      </c>
      <c r="R11" s="1" t="s">
        <v>13</v>
      </c>
      <c r="S11" s="1">
        <v>52</v>
      </c>
      <c r="T11" s="8" t="s">
        <v>22</v>
      </c>
      <c r="U11" s="1">
        <f t="shared" si="4"/>
        <v>0.12909999999999999</v>
      </c>
      <c r="V11" s="18">
        <f t="shared" si="5"/>
        <v>6.7131999999999996</v>
      </c>
      <c r="X11" s="8" t="s">
        <v>120</v>
      </c>
      <c r="Y11" s="8">
        <v>50</v>
      </c>
      <c r="Z11" s="1" t="s">
        <v>22</v>
      </c>
      <c r="AA11" s="1">
        <f t="shared" si="6"/>
        <v>4.1399999999999999E-2</v>
      </c>
      <c r="AB11" s="17">
        <f t="shared" si="7"/>
        <v>2.0699999999999998</v>
      </c>
      <c r="AD11" s="1" t="s">
        <v>272</v>
      </c>
      <c r="AE11" s="1">
        <v>134</v>
      </c>
      <c r="AF11" s="1" t="s">
        <v>129</v>
      </c>
      <c r="AG11" s="55" t="s">
        <v>270</v>
      </c>
      <c r="AH11" s="56"/>
      <c r="AP11" s="1" t="s">
        <v>165</v>
      </c>
      <c r="AQ11" s="1">
        <v>1500</v>
      </c>
      <c r="AR11" s="1" t="s">
        <v>22</v>
      </c>
      <c r="AS11" s="1">
        <f>_xlfn.XLOOKUP(AP11,$A$2:$A$113,$D$2:$D$113)</f>
        <v>0.2248</v>
      </c>
      <c r="AT11" s="1">
        <f>AS11*AQ11</f>
        <v>337.2</v>
      </c>
      <c r="AV11" s="1" t="s">
        <v>43</v>
      </c>
      <c r="AW11" s="1"/>
      <c r="AX11" s="1"/>
      <c r="AY11" s="1"/>
      <c r="AZ11" s="1">
        <f>AZ10/AW10</f>
        <v>9.1259326047358827E-2</v>
      </c>
    </row>
    <row r="12" spans="1:52" x14ac:dyDescent="0.2">
      <c r="A12" s="1" t="s">
        <v>46</v>
      </c>
      <c r="B12" s="3">
        <v>24.61</v>
      </c>
      <c r="C12" s="5" t="s">
        <v>12</v>
      </c>
      <c r="D12" s="6">
        <f t="shared" si="0"/>
        <v>2.461E-2</v>
      </c>
      <c r="F12" s="64" t="s">
        <v>47</v>
      </c>
      <c r="G12" s="64"/>
      <c r="H12" s="64"/>
      <c r="I12" s="64"/>
      <c r="J12" s="64"/>
      <c r="R12" s="1" t="s">
        <v>48</v>
      </c>
      <c r="S12" s="1">
        <v>3250</v>
      </c>
      <c r="T12" s="8" t="s">
        <v>22</v>
      </c>
      <c r="U12" s="1">
        <f t="shared" si="4"/>
        <v>0.28125</v>
      </c>
      <c r="V12" s="18">
        <f t="shared" si="5"/>
        <v>914.0625</v>
      </c>
      <c r="X12" s="1" t="s">
        <v>41</v>
      </c>
      <c r="Y12" s="1">
        <f>SUM(Y4:Y11)</f>
        <v>2053</v>
      </c>
      <c r="Z12" s="1" t="s">
        <v>22</v>
      </c>
      <c r="AA12" s="1"/>
      <c r="AB12" s="17">
        <f>SUM(AB4:AB11)</f>
        <v>46.956899999999997</v>
      </c>
      <c r="AD12" s="1" t="s">
        <v>273</v>
      </c>
      <c r="AE12" s="1">
        <v>680</v>
      </c>
      <c r="AF12" s="1" t="s">
        <v>129</v>
      </c>
      <c r="AG12" s="55" t="s">
        <v>274</v>
      </c>
      <c r="AH12" s="56"/>
      <c r="AP12" s="1" t="s">
        <v>26</v>
      </c>
      <c r="AQ12" s="1">
        <v>1000</v>
      </c>
      <c r="AR12" s="1" t="s">
        <v>22</v>
      </c>
      <c r="AS12" s="1">
        <f t="shared" ref="AS12:AS14" si="12">_xlfn.XLOOKUP(AP12,$A$2:$A$113,$D$2:$D$113)</f>
        <v>1.315E-2</v>
      </c>
      <c r="AT12" s="1">
        <f t="shared" ref="AT12:AT14" si="13">AS12*AQ12</f>
        <v>13.15</v>
      </c>
    </row>
    <row r="13" spans="1:52" x14ac:dyDescent="0.2">
      <c r="A13" s="1" t="s">
        <v>30</v>
      </c>
      <c r="B13" s="3">
        <v>5.25</v>
      </c>
      <c r="C13" s="5" t="s">
        <v>12</v>
      </c>
      <c r="D13" s="6">
        <f t="shared" si="0"/>
        <v>5.2500000000000003E-3</v>
      </c>
      <c r="F13" s="1" t="s">
        <v>51</v>
      </c>
      <c r="G13" s="1">
        <v>2500</v>
      </c>
      <c r="H13" s="1" t="s">
        <v>22</v>
      </c>
      <c r="I13" s="1">
        <f>_xlfn.XLOOKUP(F13,A2:A103,D2:D103)</f>
        <v>9.0999999999999998E-2</v>
      </c>
      <c r="J13" s="17">
        <f>I13*G13</f>
        <v>227.5</v>
      </c>
      <c r="L13" s="75" t="s">
        <v>52</v>
      </c>
      <c r="M13" s="76"/>
      <c r="N13" s="76"/>
      <c r="O13" s="76"/>
      <c r="P13" s="77"/>
      <c r="R13" s="1" t="s">
        <v>53</v>
      </c>
      <c r="S13" s="1">
        <v>650</v>
      </c>
      <c r="T13" s="8" t="s">
        <v>22</v>
      </c>
      <c r="U13" s="1">
        <f t="shared" si="4"/>
        <v>0.51200000000000001</v>
      </c>
      <c r="V13" s="18">
        <f t="shared" si="5"/>
        <v>332.8</v>
      </c>
      <c r="X13" s="1" t="s">
        <v>43</v>
      </c>
      <c r="Y13" s="1"/>
      <c r="Z13" s="1"/>
      <c r="AA13" s="1"/>
      <c r="AB13" s="20">
        <f>AB12/Y12</f>
        <v>2.2872333170969313E-2</v>
      </c>
      <c r="AD13" s="1" t="s">
        <v>275</v>
      </c>
      <c r="AE13" s="1">
        <v>480</v>
      </c>
      <c r="AF13" s="1" t="s">
        <v>129</v>
      </c>
      <c r="AG13" s="55" t="s">
        <v>274</v>
      </c>
      <c r="AH13" s="56"/>
      <c r="AP13" s="1" t="s">
        <v>30</v>
      </c>
      <c r="AQ13" s="1">
        <v>20</v>
      </c>
      <c r="AR13" s="1" t="s">
        <v>22</v>
      </c>
      <c r="AS13" s="1">
        <f t="shared" si="12"/>
        <v>5.2500000000000003E-3</v>
      </c>
      <c r="AT13" s="1">
        <f t="shared" si="13"/>
        <v>0.10500000000000001</v>
      </c>
      <c r="AV13" s="111" t="s">
        <v>295</v>
      </c>
      <c r="AW13" s="111"/>
      <c r="AX13" s="111"/>
      <c r="AY13" s="111"/>
      <c r="AZ13" s="111"/>
    </row>
    <row r="14" spans="1:52" x14ac:dyDescent="0.2">
      <c r="A14" s="1" t="s">
        <v>55</v>
      </c>
      <c r="B14" s="3">
        <v>13.41</v>
      </c>
      <c r="C14" s="5" t="s">
        <v>12</v>
      </c>
      <c r="D14" s="6">
        <f t="shared" si="0"/>
        <v>1.341E-2</v>
      </c>
      <c r="F14" s="1" t="s">
        <v>56</v>
      </c>
      <c r="G14" s="1">
        <v>2500</v>
      </c>
      <c r="H14" s="1" t="s">
        <v>22</v>
      </c>
      <c r="I14" s="1">
        <f>_xlfn.XLOOKUP(F14,A3:A104,D3:D104)</f>
        <v>0.1056</v>
      </c>
      <c r="J14" s="17">
        <f t="shared" ref="J14:J19" si="14">I14*G14</f>
        <v>264</v>
      </c>
      <c r="L14" s="1" t="s">
        <v>25</v>
      </c>
      <c r="M14" s="1">
        <v>3072</v>
      </c>
      <c r="N14" s="1" t="s">
        <v>22</v>
      </c>
      <c r="O14" s="1">
        <f>_xlfn.XLOOKUP(L14,$A$2:$A$112,$D$2:$D$112)</f>
        <v>1.8839999999999999E-2</v>
      </c>
      <c r="P14" s="17">
        <f>M14*O14</f>
        <v>57.876480000000001</v>
      </c>
      <c r="R14" s="1" t="s">
        <v>41</v>
      </c>
      <c r="S14" s="1">
        <f>SUM(S4:S13)</f>
        <v>26421</v>
      </c>
      <c r="T14" s="1" t="s">
        <v>22</v>
      </c>
      <c r="U14" s="1"/>
      <c r="V14" s="17">
        <f>SUM(V4:V13)</f>
        <v>1997.7761</v>
      </c>
      <c r="AD14" s="1" t="s">
        <v>276</v>
      </c>
      <c r="AE14" s="1">
        <v>150</v>
      </c>
      <c r="AF14" s="1" t="s">
        <v>129</v>
      </c>
      <c r="AG14" s="55" t="s">
        <v>277</v>
      </c>
      <c r="AH14" s="56"/>
      <c r="AP14" s="2" t="s">
        <v>111</v>
      </c>
      <c r="AQ14" s="1">
        <v>450</v>
      </c>
      <c r="AR14" s="1" t="s">
        <v>22</v>
      </c>
      <c r="AS14" s="1">
        <f t="shared" si="12"/>
        <v>0.32980000000000004</v>
      </c>
      <c r="AT14" s="1">
        <f t="shared" si="13"/>
        <v>148.41000000000003</v>
      </c>
      <c r="AV14" s="1" t="s">
        <v>297</v>
      </c>
      <c r="AW14" s="1">
        <v>1500</v>
      </c>
      <c r="AX14" s="1" t="s">
        <v>22</v>
      </c>
      <c r="AY14" s="1">
        <f>_xlfn.XLOOKUP(AV14,$A$2:$A$114,$D$2:$D$114)</f>
        <v>0.26485000000000003</v>
      </c>
      <c r="AZ14" s="1">
        <f>AY14*AW14</f>
        <v>397.27500000000003</v>
      </c>
    </row>
    <row r="15" spans="1:52" x14ac:dyDescent="0.2">
      <c r="A15" s="1" t="s">
        <v>60</v>
      </c>
      <c r="B15" s="3">
        <v>107</v>
      </c>
      <c r="C15" s="5" t="s">
        <v>61</v>
      </c>
      <c r="D15" s="6">
        <f t="shared" si="0"/>
        <v>0.107</v>
      </c>
      <c r="F15" s="1" t="s">
        <v>62</v>
      </c>
      <c r="G15" s="1">
        <v>50</v>
      </c>
      <c r="H15" s="1" t="s">
        <v>22</v>
      </c>
      <c r="I15" s="1">
        <f>_xlfn.XLOOKUP(F15,A4:A105,D4:D105)</f>
        <v>0.11466</v>
      </c>
      <c r="J15" s="17">
        <f t="shared" si="14"/>
        <v>5.7329999999999997</v>
      </c>
      <c r="L15" s="1" t="s">
        <v>29</v>
      </c>
      <c r="M15" s="1">
        <v>154</v>
      </c>
      <c r="N15" s="1" t="s">
        <v>22</v>
      </c>
      <c r="O15" s="1">
        <f t="shared" ref="O15:O19" si="15">_xlfn.XLOOKUP(L15,$A$2:$A$112,$D$2:$D$112)</f>
        <v>8.1000000000000003E-2</v>
      </c>
      <c r="P15" s="17">
        <f t="shared" ref="P15:P19" si="16">M15*O15</f>
        <v>12.474</v>
      </c>
      <c r="R15" s="1" t="s">
        <v>43</v>
      </c>
      <c r="S15" s="1"/>
      <c r="T15" s="1" t="s">
        <v>22</v>
      </c>
      <c r="U15" s="1"/>
      <c r="V15" s="1">
        <f>V14/S14</f>
        <v>7.5613190265319249E-2</v>
      </c>
      <c r="X15" s="63" t="s">
        <v>339</v>
      </c>
      <c r="Y15" s="63"/>
      <c r="Z15" s="63"/>
      <c r="AA15" s="63"/>
      <c r="AB15" s="63"/>
      <c r="AD15" s="1" t="s">
        <v>419</v>
      </c>
      <c r="AE15" s="1">
        <v>5</v>
      </c>
      <c r="AF15" s="1" t="s">
        <v>129</v>
      </c>
      <c r="AG15" s="39"/>
      <c r="AH15" s="40"/>
      <c r="AP15" s="1" t="s">
        <v>41</v>
      </c>
      <c r="AQ15" s="1">
        <f>SUM(AQ11:AQ14)</f>
        <v>2970</v>
      </c>
      <c r="AR15" s="1" t="s">
        <v>22</v>
      </c>
      <c r="AS15" s="1"/>
      <c r="AT15" s="1">
        <f>SUM(AT11:AT14)</f>
        <v>498.86500000000001</v>
      </c>
      <c r="AV15" s="1" t="s">
        <v>26</v>
      </c>
      <c r="AW15" s="1">
        <v>1000</v>
      </c>
      <c r="AX15" s="1" t="s">
        <v>22</v>
      </c>
      <c r="AY15" s="1">
        <f t="shared" ref="AY15:AY17" si="17">_xlfn.XLOOKUP(AV15,$A$2:$A$113,$D$2:$D$113)</f>
        <v>1.315E-2</v>
      </c>
      <c r="AZ15" s="1">
        <f t="shared" ref="AZ15:AZ17" si="18">AY15*AW15</f>
        <v>13.15</v>
      </c>
    </row>
    <row r="16" spans="1:52" x14ac:dyDescent="0.2">
      <c r="A16" s="1" t="s">
        <v>64</v>
      </c>
      <c r="B16" s="3">
        <v>37.9</v>
      </c>
      <c r="C16" s="5" t="s">
        <v>61</v>
      </c>
      <c r="D16" s="6">
        <f t="shared" si="0"/>
        <v>3.7899999999999996E-2</v>
      </c>
      <c r="F16" s="1" t="s">
        <v>26</v>
      </c>
      <c r="G16" s="1">
        <v>5000</v>
      </c>
      <c r="H16" s="1" t="s">
        <v>22</v>
      </c>
      <c r="I16" s="1">
        <f>_xlfn.XLOOKUP(F16,A5:A106,D5:D106)</f>
        <v>1.315E-2</v>
      </c>
      <c r="J16" s="17">
        <f t="shared" si="14"/>
        <v>65.75</v>
      </c>
      <c r="L16" s="1" t="s">
        <v>33</v>
      </c>
      <c r="M16" s="1">
        <v>384</v>
      </c>
      <c r="N16" s="1" t="s">
        <v>22</v>
      </c>
      <c r="O16" s="1">
        <f t="shared" si="15"/>
        <v>0.13930000000000001</v>
      </c>
      <c r="P16" s="17">
        <f t="shared" si="16"/>
        <v>53.491200000000006</v>
      </c>
      <c r="X16" s="1" t="s">
        <v>340</v>
      </c>
      <c r="Y16" s="1">
        <v>88.4</v>
      </c>
      <c r="Z16" s="1" t="s">
        <v>22</v>
      </c>
      <c r="AA16" s="1">
        <v>2.3E-2</v>
      </c>
      <c r="AB16" s="1">
        <f>AA16*Y16</f>
        <v>2.0331999999999999</v>
      </c>
      <c r="AD16" s="1" t="s">
        <v>237</v>
      </c>
      <c r="AE16" s="1">
        <f>SUM(AE9:AE15)</f>
        <v>1539</v>
      </c>
      <c r="AF16" s="1" t="s">
        <v>129</v>
      </c>
      <c r="AG16" s="55" t="s">
        <v>278</v>
      </c>
      <c r="AH16" s="56"/>
      <c r="AP16" s="1" t="s">
        <v>43</v>
      </c>
      <c r="AQ16" s="1"/>
      <c r="AR16" s="1"/>
      <c r="AS16" s="1"/>
      <c r="AT16" s="1">
        <f>AT15/AQ15</f>
        <v>0.16796801346801346</v>
      </c>
      <c r="AV16" s="1" t="s">
        <v>30</v>
      </c>
      <c r="AW16" s="1">
        <v>20</v>
      </c>
      <c r="AX16" s="1" t="s">
        <v>22</v>
      </c>
      <c r="AY16" s="1">
        <f t="shared" si="17"/>
        <v>5.2500000000000003E-3</v>
      </c>
      <c r="AZ16" s="1">
        <f t="shared" si="18"/>
        <v>0.10500000000000001</v>
      </c>
    </row>
    <row r="17" spans="1:52" ht="18" customHeight="1" x14ac:dyDescent="0.2">
      <c r="A17" s="1" t="s">
        <v>65</v>
      </c>
      <c r="B17" s="3">
        <v>29.7</v>
      </c>
      <c r="C17" s="5" t="s">
        <v>12</v>
      </c>
      <c r="D17" s="6">
        <f t="shared" si="0"/>
        <v>2.9700000000000001E-2</v>
      </c>
      <c r="F17" s="1" t="s">
        <v>28</v>
      </c>
      <c r="G17" s="1">
        <v>3800</v>
      </c>
      <c r="H17" s="1" t="s">
        <v>22</v>
      </c>
      <c r="I17" s="1">
        <f>_xlfn.XLOOKUP(F17,A6:A107,D6:D107)</f>
        <v>7.0999999999999994E-2</v>
      </c>
      <c r="J17" s="17">
        <f t="shared" si="14"/>
        <v>269.79999999999995</v>
      </c>
      <c r="L17" s="2" t="s">
        <v>66</v>
      </c>
      <c r="M17" s="1">
        <v>3840</v>
      </c>
      <c r="N17" s="1" t="s">
        <v>22</v>
      </c>
      <c r="O17" s="1">
        <f t="shared" si="15"/>
        <v>0.35599999999999998</v>
      </c>
      <c r="P17" s="17">
        <f t="shared" si="16"/>
        <v>1367.04</v>
      </c>
      <c r="R17" s="79" t="s">
        <v>67</v>
      </c>
      <c r="S17" s="80"/>
      <c r="T17" s="80"/>
      <c r="U17" s="80"/>
      <c r="V17" s="81"/>
      <c r="X17" s="1" t="s">
        <v>41</v>
      </c>
      <c r="Y17" s="1"/>
      <c r="Z17" s="1"/>
      <c r="AA17" s="1"/>
      <c r="AB17" s="21">
        <f>SUM(AB16)</f>
        <v>2.0331999999999999</v>
      </c>
      <c r="AD17" s="33" t="s">
        <v>240</v>
      </c>
      <c r="AE17" s="33">
        <f>AE16/3360</f>
        <v>0.45803571428571427</v>
      </c>
      <c r="AF17" s="33" t="s">
        <v>129</v>
      </c>
      <c r="AG17" s="57" t="s">
        <v>279</v>
      </c>
      <c r="AH17" s="58"/>
      <c r="AV17" s="2" t="s">
        <v>111</v>
      </c>
      <c r="AW17" s="1">
        <v>450</v>
      </c>
      <c r="AX17" s="1" t="s">
        <v>22</v>
      </c>
      <c r="AY17" s="1">
        <f t="shared" si="17"/>
        <v>0.32980000000000004</v>
      </c>
      <c r="AZ17" s="1">
        <f t="shared" si="18"/>
        <v>148.41000000000003</v>
      </c>
    </row>
    <row r="18" spans="1:52" x14ac:dyDescent="0.2">
      <c r="A18" s="1" t="s">
        <v>69</v>
      </c>
      <c r="B18" s="3">
        <v>32.39</v>
      </c>
      <c r="C18" s="5" t="s">
        <v>12</v>
      </c>
      <c r="D18" s="6">
        <f t="shared" si="0"/>
        <v>3.2390000000000002E-2</v>
      </c>
      <c r="F18" s="1" t="s">
        <v>33</v>
      </c>
      <c r="G18" s="1">
        <v>455</v>
      </c>
      <c r="H18" s="1" t="s">
        <v>22</v>
      </c>
      <c r="I18" s="1">
        <f>_xlfn.XLOOKUP(F18,A7:A108,D7:D108)</f>
        <v>0.13930000000000001</v>
      </c>
      <c r="J18" s="17">
        <f t="shared" si="14"/>
        <v>63.381500000000003</v>
      </c>
      <c r="L18" s="8" t="s">
        <v>39</v>
      </c>
      <c r="M18" s="8">
        <v>6144</v>
      </c>
      <c r="N18" s="8" t="s">
        <v>22</v>
      </c>
      <c r="O18" s="1">
        <f t="shared" si="15"/>
        <v>5.6149999999999999E-2</v>
      </c>
      <c r="P18" s="18">
        <f t="shared" si="16"/>
        <v>344.98559999999998</v>
      </c>
      <c r="R18" s="1" t="s">
        <v>26</v>
      </c>
      <c r="S18" s="1">
        <v>1305</v>
      </c>
      <c r="T18" s="1" t="s">
        <v>22</v>
      </c>
      <c r="U18" s="1">
        <f>_xlfn.XLOOKUP(R18,$A$2:$A$112,$D$2:$D$112)</f>
        <v>1.315E-2</v>
      </c>
      <c r="V18" s="17">
        <f>S18*U18</f>
        <v>17.16075</v>
      </c>
      <c r="AP18" s="117" t="s">
        <v>301</v>
      </c>
      <c r="AQ18" s="117"/>
      <c r="AR18" s="117"/>
      <c r="AS18" s="117"/>
      <c r="AT18" s="117"/>
      <c r="AV18" s="1" t="s">
        <v>41</v>
      </c>
      <c r="AW18" s="1">
        <f>SUM(AW14:AW17)</f>
        <v>2970</v>
      </c>
      <c r="AX18" s="1" t="s">
        <v>22</v>
      </c>
      <c r="AY18" s="1"/>
      <c r="AZ18" s="1">
        <f>SUM(AZ14:AZ17)</f>
        <v>558.94000000000005</v>
      </c>
    </row>
    <row r="19" spans="1:52" x14ac:dyDescent="0.2">
      <c r="A19" s="1" t="s">
        <v>71</v>
      </c>
      <c r="B19" s="3">
        <v>100.48</v>
      </c>
      <c r="C19" s="5" t="s">
        <v>12</v>
      </c>
      <c r="D19" s="6">
        <f t="shared" si="0"/>
        <v>0.10048</v>
      </c>
      <c r="F19" s="8" t="s">
        <v>24</v>
      </c>
      <c r="G19" s="8">
        <v>4500</v>
      </c>
      <c r="H19" s="8" t="s">
        <v>22</v>
      </c>
      <c r="I19" s="8">
        <f>_xlfn.XLOOKUP(F19,A8:A109,D8:D109)</f>
        <v>7.6060000000000003E-2</v>
      </c>
      <c r="J19" s="18">
        <f t="shared" si="14"/>
        <v>342.27000000000004</v>
      </c>
      <c r="L19" s="1" t="s">
        <v>74</v>
      </c>
      <c r="M19" s="1">
        <v>461</v>
      </c>
      <c r="N19" s="1" t="s">
        <v>22</v>
      </c>
      <c r="O19" s="1">
        <f t="shared" si="15"/>
        <v>0.20663000000000001</v>
      </c>
      <c r="P19" s="18">
        <f t="shared" si="16"/>
        <v>95.256430000000009</v>
      </c>
      <c r="R19" s="1" t="s">
        <v>29</v>
      </c>
      <c r="S19" s="1">
        <v>348</v>
      </c>
      <c r="T19" s="1" t="s">
        <v>22</v>
      </c>
      <c r="U19" s="1">
        <f t="shared" ref="U19:U23" si="19">_xlfn.XLOOKUP(R19,$A$2:$A$112,$D$2:$D$112)</f>
        <v>8.1000000000000003E-2</v>
      </c>
      <c r="V19" s="17">
        <f t="shared" ref="V19:V23" si="20">S19*U19</f>
        <v>28.188000000000002</v>
      </c>
      <c r="X19" s="71" t="s">
        <v>341</v>
      </c>
      <c r="Y19" s="71"/>
      <c r="Z19" s="71"/>
      <c r="AA19" s="71"/>
      <c r="AB19" s="71"/>
      <c r="AD19" s="82" t="s">
        <v>252</v>
      </c>
      <c r="AE19" s="84"/>
      <c r="AP19" s="2" t="s">
        <v>66</v>
      </c>
      <c r="AQ19" s="1">
        <v>300</v>
      </c>
      <c r="AR19" s="1" t="s">
        <v>22</v>
      </c>
      <c r="AS19" s="1">
        <f>_xlfn.XLOOKUP(AP19,$A$2:$A$113,$D$2:$D$113)</f>
        <v>0.35599999999999998</v>
      </c>
      <c r="AT19" s="1">
        <f>AS19*AQ19</f>
        <v>106.8</v>
      </c>
      <c r="AV19" s="1" t="s">
        <v>43</v>
      </c>
      <c r="AW19" s="1"/>
      <c r="AX19" s="1"/>
      <c r="AY19" s="1"/>
      <c r="AZ19" s="1">
        <f>AZ18/AW18</f>
        <v>0.18819528619528622</v>
      </c>
    </row>
    <row r="20" spans="1:52" x14ac:dyDescent="0.2">
      <c r="A20" s="1" t="s">
        <v>75</v>
      </c>
      <c r="B20" s="3">
        <v>61.57</v>
      </c>
      <c r="C20" s="5" t="s">
        <v>12</v>
      </c>
      <c r="D20" s="6">
        <f t="shared" si="0"/>
        <v>6.157E-2</v>
      </c>
      <c r="F20" s="1" t="s">
        <v>41</v>
      </c>
      <c r="G20" s="1">
        <f>SUM(G13:G19)</f>
        <v>18805</v>
      </c>
      <c r="H20" s="1" t="s">
        <v>22</v>
      </c>
      <c r="I20" s="1"/>
      <c r="J20" s="17">
        <f>SUM(J13:J19)</f>
        <v>1238.4344999999998</v>
      </c>
      <c r="L20" s="1" t="s">
        <v>41</v>
      </c>
      <c r="M20" s="1">
        <f>SUM(M14:M19)</f>
        <v>14055</v>
      </c>
      <c r="N20" s="1" t="s">
        <v>22</v>
      </c>
      <c r="O20" s="1"/>
      <c r="P20" s="17">
        <f>SUM(P14:P19)</f>
        <v>1931.1237099999998</v>
      </c>
      <c r="R20" s="1" t="s">
        <v>23</v>
      </c>
      <c r="S20" s="1">
        <v>261</v>
      </c>
      <c r="T20" s="1" t="s">
        <v>22</v>
      </c>
      <c r="U20" s="1">
        <f t="shared" si="19"/>
        <v>0</v>
      </c>
      <c r="V20" s="17">
        <f t="shared" si="20"/>
        <v>0</v>
      </c>
      <c r="X20" s="71"/>
      <c r="Y20" s="71"/>
      <c r="Z20" s="71"/>
      <c r="AA20" s="71"/>
      <c r="AB20" s="71"/>
      <c r="AD20" s="43" t="s">
        <v>415</v>
      </c>
      <c r="AE20" s="43">
        <f>AH6</f>
        <v>1.520634</v>
      </c>
      <c r="AP20" s="1" t="s">
        <v>113</v>
      </c>
      <c r="AQ20" s="1">
        <v>300</v>
      </c>
      <c r="AR20" s="1" t="s">
        <v>22</v>
      </c>
      <c r="AS20" s="1">
        <f t="shared" ref="AS20:AS21" si="21">_xlfn.XLOOKUP(AP20,$A$2:$A$113,$D$2:$D$113)</f>
        <v>0.44550000000000001</v>
      </c>
      <c r="AT20" s="1">
        <f t="shared" ref="AT20:AT21" si="22">AS20*AQ20</f>
        <v>133.65</v>
      </c>
    </row>
    <row r="21" spans="1:52" x14ac:dyDescent="0.2">
      <c r="A21" s="1" t="s">
        <v>76</v>
      </c>
      <c r="B21" s="3">
        <v>81.03</v>
      </c>
      <c r="C21" s="5" t="s">
        <v>12</v>
      </c>
      <c r="D21" s="6">
        <f t="shared" si="0"/>
        <v>8.1030000000000005E-2</v>
      </c>
      <c r="F21" s="1" t="s">
        <v>43</v>
      </c>
      <c r="G21" s="1"/>
      <c r="H21" s="1"/>
      <c r="I21" s="1"/>
      <c r="J21" s="20">
        <f>J20/G20</f>
        <v>6.5856660462642908E-2</v>
      </c>
      <c r="L21" s="1" t="s">
        <v>43</v>
      </c>
      <c r="M21" s="1"/>
      <c r="N21" s="1" t="s">
        <v>22</v>
      </c>
      <c r="O21" s="1"/>
      <c r="P21" s="1">
        <f>P20/M20</f>
        <v>0.13739763144788331</v>
      </c>
      <c r="R21" s="1" t="s">
        <v>39</v>
      </c>
      <c r="S21" s="1">
        <v>783</v>
      </c>
      <c r="T21" s="1" t="s">
        <v>22</v>
      </c>
      <c r="U21" s="1">
        <f t="shared" si="19"/>
        <v>5.6149999999999999E-2</v>
      </c>
      <c r="V21" s="17">
        <f t="shared" si="20"/>
        <v>43.965449999999997</v>
      </c>
      <c r="AD21" s="1" t="s">
        <v>496</v>
      </c>
      <c r="AE21" s="1">
        <f>AE17*I68</f>
        <v>2.862723214285714</v>
      </c>
      <c r="AP21" s="1" t="s">
        <v>203</v>
      </c>
      <c r="AQ21" s="1">
        <v>7</v>
      </c>
      <c r="AR21" s="1" t="s">
        <v>22</v>
      </c>
      <c r="AS21" s="1">
        <f t="shared" si="21"/>
        <v>0.61199999999999999</v>
      </c>
      <c r="AT21" s="1">
        <f t="shared" si="22"/>
        <v>4.2839999999999998</v>
      </c>
      <c r="AV21" s="111" t="s">
        <v>304</v>
      </c>
      <c r="AW21" s="111"/>
      <c r="AX21" s="111"/>
      <c r="AY21" s="111"/>
      <c r="AZ21" s="111"/>
    </row>
    <row r="22" spans="1:52" x14ac:dyDescent="0.2">
      <c r="A22" s="1" t="s">
        <v>77</v>
      </c>
      <c r="B22" s="3">
        <v>106.04</v>
      </c>
      <c r="C22" s="5" t="s">
        <v>12</v>
      </c>
      <c r="D22" s="6">
        <f t="shared" si="0"/>
        <v>0.10604000000000001</v>
      </c>
      <c r="J22" s="19"/>
      <c r="R22" s="8" t="s">
        <v>24</v>
      </c>
      <c r="S22" s="8">
        <v>783</v>
      </c>
      <c r="T22" s="8" t="s">
        <v>22</v>
      </c>
      <c r="U22" s="1">
        <f t="shared" si="19"/>
        <v>7.6060000000000003E-2</v>
      </c>
      <c r="V22" s="18">
        <f t="shared" si="20"/>
        <v>59.55498</v>
      </c>
      <c r="X22" s="65" t="s">
        <v>342</v>
      </c>
      <c r="Y22" s="66"/>
      <c r="Z22" s="66"/>
      <c r="AA22" s="66"/>
      <c r="AB22" s="67"/>
      <c r="AD22" s="33" t="s">
        <v>418</v>
      </c>
      <c r="AE22" s="21">
        <f>SUM(AE20:AE21)</f>
        <v>4.3833572142857138</v>
      </c>
      <c r="AP22" s="1" t="s">
        <v>41</v>
      </c>
      <c r="AQ22" s="1">
        <f>SUM(AQ19:AQ21)</f>
        <v>607</v>
      </c>
      <c r="AR22" s="1" t="s">
        <v>22</v>
      </c>
      <c r="AS22" s="1"/>
      <c r="AT22" s="1">
        <f>SUM(AT19:AT21)</f>
        <v>244.73399999999998</v>
      </c>
      <c r="AV22" s="2" t="s">
        <v>66</v>
      </c>
      <c r="AW22" s="1">
        <v>300</v>
      </c>
      <c r="AX22" s="1" t="s">
        <v>22</v>
      </c>
      <c r="AY22" s="1">
        <f>_xlfn.XLOOKUP(AV22,$A$2:$A$113,$D$2:$D$113)</f>
        <v>0.35599999999999998</v>
      </c>
      <c r="AZ22" s="1">
        <f>AY22*AW22</f>
        <v>106.8</v>
      </c>
    </row>
    <row r="23" spans="1:52" x14ac:dyDescent="0.2">
      <c r="A23" s="1" t="s">
        <v>80</v>
      </c>
      <c r="B23" s="3">
        <v>89</v>
      </c>
      <c r="C23" s="5" t="s">
        <v>12</v>
      </c>
      <c r="D23" s="6">
        <f t="shared" si="0"/>
        <v>8.8999999999999996E-2</v>
      </c>
      <c r="F23" s="64" t="s">
        <v>81</v>
      </c>
      <c r="G23" s="64"/>
      <c r="H23" s="64"/>
      <c r="I23" s="64"/>
      <c r="J23" s="64"/>
      <c r="L23" s="75" t="s">
        <v>83</v>
      </c>
      <c r="M23" s="76"/>
      <c r="N23" s="76"/>
      <c r="O23" s="76"/>
      <c r="P23" s="77"/>
      <c r="R23" s="1" t="s">
        <v>30</v>
      </c>
      <c r="S23" s="1">
        <v>13.5</v>
      </c>
      <c r="T23" s="8" t="s">
        <v>22</v>
      </c>
      <c r="U23" s="1">
        <f t="shared" si="19"/>
        <v>5.2500000000000003E-3</v>
      </c>
      <c r="V23" s="18">
        <f t="shared" si="20"/>
        <v>7.0875000000000007E-2</v>
      </c>
      <c r="X23" s="1" t="s">
        <v>343</v>
      </c>
      <c r="Y23" s="1">
        <v>1000</v>
      </c>
      <c r="Z23" s="1" t="s">
        <v>22</v>
      </c>
      <c r="AA23" s="1">
        <f>_xlfn.XLOOKUP(X23,$A$2:$A$113,$D$2:$D$113)</f>
        <v>0.1196</v>
      </c>
      <c r="AB23" s="17">
        <f>AA23*Y23</f>
        <v>119.6</v>
      </c>
      <c r="AP23" s="1" t="s">
        <v>43</v>
      </c>
      <c r="AQ23" s="1"/>
      <c r="AR23" s="1"/>
      <c r="AS23" s="1"/>
      <c r="AT23" s="1">
        <f>AT22/AQ22</f>
        <v>0.40318616144975283</v>
      </c>
      <c r="AV23" s="1" t="s">
        <v>113</v>
      </c>
      <c r="AW23" s="1">
        <v>300</v>
      </c>
      <c r="AX23" s="1" t="s">
        <v>22</v>
      </c>
      <c r="AY23" s="1">
        <f t="shared" ref="AY23:AY24" si="23">_xlfn.XLOOKUP(AV23,$A$2:$A$113,$D$2:$D$113)</f>
        <v>0.44550000000000001</v>
      </c>
      <c r="AZ23" s="1">
        <f t="shared" ref="AZ23:AZ24" si="24">AY23*AW23</f>
        <v>133.65</v>
      </c>
    </row>
    <row r="24" spans="1:52" x14ac:dyDescent="0.2">
      <c r="A24" s="1" t="s">
        <v>85</v>
      </c>
      <c r="B24" s="3">
        <v>26.5</v>
      </c>
      <c r="C24" s="5" t="s">
        <v>12</v>
      </c>
      <c r="D24" s="6">
        <f t="shared" si="0"/>
        <v>2.6499999999999999E-2</v>
      </c>
      <c r="F24" s="1" t="s">
        <v>86</v>
      </c>
      <c r="G24" s="1">
        <v>2000</v>
      </c>
      <c r="H24" s="1" t="s">
        <v>22</v>
      </c>
      <c r="I24" s="1">
        <f>_xlfn.XLOOKUP(F24,A2:A103,D2:D103)</f>
        <v>0.126</v>
      </c>
      <c r="J24" s="17">
        <f>I24*G24</f>
        <v>252</v>
      </c>
      <c r="L24" s="1" t="s">
        <v>23</v>
      </c>
      <c r="M24" s="1">
        <v>5000</v>
      </c>
      <c r="N24" s="1" t="s">
        <v>22</v>
      </c>
      <c r="O24" s="1">
        <f>_xlfn.XLOOKUP(L24,$A$2:$A$112,$D$2:$D$112)</f>
        <v>0</v>
      </c>
      <c r="P24" s="17">
        <f>M24*O24</f>
        <v>0</v>
      </c>
      <c r="R24" s="1" t="s">
        <v>41</v>
      </c>
      <c r="S24" s="1">
        <f>SUM(S18:S23)</f>
        <v>3493.5</v>
      </c>
      <c r="T24" s="1" t="s">
        <v>22</v>
      </c>
      <c r="U24" s="1"/>
      <c r="V24" s="17">
        <f>SUM(V18:V23)</f>
        <v>148.940055</v>
      </c>
      <c r="X24" s="1" t="s">
        <v>26</v>
      </c>
      <c r="Y24" s="1">
        <v>225</v>
      </c>
      <c r="Z24" s="1" t="s">
        <v>22</v>
      </c>
      <c r="AA24" s="1">
        <f t="shared" ref="AA24:AA27" si="25">_xlfn.XLOOKUP(X24,$A$2:$A$112,$D$2:$D$112)</f>
        <v>1.315E-2</v>
      </c>
      <c r="AB24" s="17">
        <f t="shared" ref="AB24:AB27" si="26">AA24*Y24</f>
        <v>2.9587500000000002</v>
      </c>
      <c r="AV24" s="1" t="s">
        <v>203</v>
      </c>
      <c r="AW24" s="1">
        <v>7</v>
      </c>
      <c r="AX24" s="1" t="s">
        <v>22</v>
      </c>
      <c r="AY24" s="1">
        <f t="shared" si="23"/>
        <v>0.61199999999999999</v>
      </c>
      <c r="AZ24" s="1">
        <f t="shared" si="24"/>
        <v>4.2839999999999998</v>
      </c>
    </row>
    <row r="25" spans="1:52" x14ac:dyDescent="0.2">
      <c r="A25" s="1" t="s">
        <v>89</v>
      </c>
      <c r="B25" s="3">
        <v>15.75</v>
      </c>
      <c r="C25" s="5" t="s">
        <v>12</v>
      </c>
      <c r="D25" s="6">
        <f t="shared" si="0"/>
        <v>1.575E-2</v>
      </c>
      <c r="F25" s="1" t="s">
        <v>76</v>
      </c>
      <c r="G25" s="1">
        <v>4000</v>
      </c>
      <c r="H25" s="1" t="s">
        <v>22</v>
      </c>
      <c r="I25" s="1">
        <f>_xlfn.XLOOKUP(F25,A3:A104,D3:D104)</f>
        <v>8.1030000000000005E-2</v>
      </c>
      <c r="J25" s="17">
        <f t="shared" ref="J25:J27" si="27">I25*G25</f>
        <v>324.12</v>
      </c>
      <c r="L25" s="1" t="s">
        <v>74</v>
      </c>
      <c r="M25" s="1">
        <v>125</v>
      </c>
      <c r="N25" s="1" t="s">
        <v>22</v>
      </c>
      <c r="O25" s="1">
        <f t="shared" ref="O25:O28" si="28">_xlfn.XLOOKUP(L25,$A$2:$A$112,$D$2:$D$112)</f>
        <v>0.20663000000000001</v>
      </c>
      <c r="P25" s="17">
        <f t="shared" ref="P25:P28" si="29">M25*O25</f>
        <v>25.828749999999999</v>
      </c>
      <c r="R25" s="1" t="s">
        <v>43</v>
      </c>
      <c r="S25" s="1"/>
      <c r="T25" s="1" t="s">
        <v>22</v>
      </c>
      <c r="U25" s="1"/>
      <c r="V25" s="1">
        <f>V24/S24</f>
        <v>4.2633477887505371E-2</v>
      </c>
      <c r="X25" s="1" t="s">
        <v>26</v>
      </c>
      <c r="Y25" s="1">
        <v>550</v>
      </c>
      <c r="Z25" s="1" t="s">
        <v>22</v>
      </c>
      <c r="AA25" s="1">
        <f t="shared" si="25"/>
        <v>1.315E-2</v>
      </c>
      <c r="AB25" s="17">
        <f t="shared" si="26"/>
        <v>7.2324999999999999</v>
      </c>
      <c r="AP25" s="117" t="s">
        <v>306</v>
      </c>
      <c r="AQ25" s="117"/>
      <c r="AR25" s="117"/>
      <c r="AS25" s="117"/>
      <c r="AT25" s="117"/>
      <c r="AV25" s="1" t="s">
        <v>41</v>
      </c>
      <c r="AW25" s="1">
        <f>SUM(AW22:AW24)</f>
        <v>607</v>
      </c>
      <c r="AX25" s="1" t="s">
        <v>22</v>
      </c>
      <c r="AY25" s="1"/>
      <c r="AZ25" s="1">
        <f>SUM(AZ22:AZ24)</f>
        <v>244.73399999999998</v>
      </c>
    </row>
    <row r="26" spans="1:52" x14ac:dyDescent="0.2">
      <c r="A26" s="1" t="s">
        <v>91</v>
      </c>
      <c r="B26" s="3">
        <v>49.85</v>
      </c>
      <c r="C26" s="5" t="s">
        <v>12</v>
      </c>
      <c r="D26" s="6">
        <f t="shared" si="0"/>
        <v>4.9849999999999998E-2</v>
      </c>
      <c r="F26" s="1" t="s">
        <v>90</v>
      </c>
      <c r="G26" s="1">
        <v>20</v>
      </c>
      <c r="H26" s="1" t="s">
        <v>22</v>
      </c>
      <c r="I26" s="1">
        <f>_xlfn.XLOOKUP(F26,A4:A105,D4:D105)</f>
        <v>0.93</v>
      </c>
      <c r="J26" s="17">
        <f t="shared" si="27"/>
        <v>18.600000000000001</v>
      </c>
      <c r="L26" s="1" t="s">
        <v>26</v>
      </c>
      <c r="M26" s="1">
        <v>250</v>
      </c>
      <c r="N26" s="1" t="s">
        <v>22</v>
      </c>
      <c r="O26" s="1">
        <f t="shared" si="28"/>
        <v>1.315E-2</v>
      </c>
      <c r="P26" s="17">
        <f t="shared" si="29"/>
        <v>3.2875000000000001</v>
      </c>
      <c r="X26" s="1" t="s">
        <v>90</v>
      </c>
      <c r="Y26" s="1">
        <v>55</v>
      </c>
      <c r="Z26" s="1" t="s">
        <v>22</v>
      </c>
      <c r="AA26" s="1">
        <f t="shared" si="25"/>
        <v>0.93</v>
      </c>
      <c r="AB26" s="17">
        <f t="shared" si="26"/>
        <v>51.150000000000006</v>
      </c>
      <c r="AP26" s="2" t="s">
        <v>111</v>
      </c>
      <c r="AQ26" s="1">
        <v>1000</v>
      </c>
      <c r="AR26" s="1" t="s">
        <v>22</v>
      </c>
      <c r="AS26" s="1">
        <f>_xlfn.XLOOKUP(AP26,$A$2:$A$112,$D$2:$D$112)</f>
        <v>0.32980000000000004</v>
      </c>
      <c r="AT26" s="1">
        <f>AS26*AQ26</f>
        <v>329.8</v>
      </c>
      <c r="AV26" s="1" t="s">
        <v>43</v>
      </c>
      <c r="AW26" s="1"/>
      <c r="AX26" s="1"/>
      <c r="AY26" s="1"/>
      <c r="AZ26" s="1">
        <f>AZ25/AW25</f>
        <v>0.40318616144975283</v>
      </c>
    </row>
    <row r="27" spans="1:52" x14ac:dyDescent="0.2">
      <c r="A27" s="1" t="s">
        <v>93</v>
      </c>
      <c r="B27" s="3">
        <v>36.75</v>
      </c>
      <c r="C27" s="5" t="s">
        <v>12</v>
      </c>
      <c r="D27" s="6">
        <f t="shared" si="0"/>
        <v>3.6749999999999998E-2</v>
      </c>
      <c r="F27" s="1" t="s">
        <v>26</v>
      </c>
      <c r="G27" s="1">
        <v>100</v>
      </c>
      <c r="H27" s="1" t="s">
        <v>22</v>
      </c>
      <c r="I27" s="1">
        <f>_xlfn.XLOOKUP(F27,A5:A106,D5:D106)</f>
        <v>1.315E-2</v>
      </c>
      <c r="J27" s="17">
        <f t="shared" si="27"/>
        <v>1.3149999999999999</v>
      </c>
      <c r="L27" s="1" t="s">
        <v>90</v>
      </c>
      <c r="M27" s="1">
        <v>33</v>
      </c>
      <c r="N27" s="1" t="s">
        <v>22</v>
      </c>
      <c r="O27" s="1">
        <f t="shared" si="28"/>
        <v>0.93</v>
      </c>
      <c r="P27" s="17">
        <f t="shared" si="29"/>
        <v>30.69</v>
      </c>
      <c r="R27" s="79" t="s">
        <v>94</v>
      </c>
      <c r="S27" s="80"/>
      <c r="T27" s="80"/>
      <c r="U27" s="80"/>
      <c r="V27" s="81"/>
      <c r="X27" s="1" t="s">
        <v>51</v>
      </c>
      <c r="Y27" s="8">
        <v>10</v>
      </c>
      <c r="Z27" s="1" t="s">
        <v>22</v>
      </c>
      <c r="AA27" s="1">
        <f t="shared" si="25"/>
        <v>9.0999999999999998E-2</v>
      </c>
      <c r="AB27" s="17">
        <f t="shared" si="26"/>
        <v>0.90999999999999992</v>
      </c>
      <c r="AP27" s="1" t="s">
        <v>41</v>
      </c>
      <c r="AQ27" s="1">
        <f>SUM(AQ26:AQ26)</f>
        <v>1000</v>
      </c>
      <c r="AR27" s="1" t="s">
        <v>22</v>
      </c>
      <c r="AS27" s="1"/>
      <c r="AT27" s="1">
        <f>SUM(AT26:AT26)</f>
        <v>329.8</v>
      </c>
    </row>
    <row r="28" spans="1:52" x14ac:dyDescent="0.2">
      <c r="A28" s="1" t="s">
        <v>95</v>
      </c>
      <c r="B28" s="3">
        <v>98.75</v>
      </c>
      <c r="C28" s="5" t="s">
        <v>12</v>
      </c>
      <c r="D28" s="6">
        <f t="shared" si="0"/>
        <v>9.8750000000000004E-2</v>
      </c>
      <c r="F28" s="1" t="s">
        <v>41</v>
      </c>
      <c r="G28" s="1">
        <f>SUM(G24:G27)</f>
        <v>6120</v>
      </c>
      <c r="H28" s="1" t="s">
        <v>22</v>
      </c>
      <c r="I28" s="1"/>
      <c r="J28" s="17">
        <f>SUM(J24:J27)</f>
        <v>596.03500000000008</v>
      </c>
      <c r="L28" s="1" t="s">
        <v>44</v>
      </c>
      <c r="M28" s="8">
        <v>6</v>
      </c>
      <c r="N28" s="8" t="s">
        <v>22</v>
      </c>
      <c r="O28" s="1">
        <f t="shared" si="28"/>
        <v>0.65800000000000003</v>
      </c>
      <c r="P28" s="18">
        <f t="shared" si="29"/>
        <v>3.9480000000000004</v>
      </c>
      <c r="R28" s="1" t="s">
        <v>63</v>
      </c>
      <c r="S28" s="1">
        <v>3000</v>
      </c>
      <c r="T28" s="1" t="s">
        <v>22</v>
      </c>
      <c r="U28" s="1">
        <f>_xlfn.XLOOKUP(R28,$A$2:$A$112,$D$2:$D$112)</f>
        <v>0.45400000000000001</v>
      </c>
      <c r="V28" s="17">
        <f>S28*U28</f>
        <v>1362</v>
      </c>
      <c r="X28" s="1" t="s">
        <v>41</v>
      </c>
      <c r="Y28" s="1">
        <f>SUM(Y23:Y27)</f>
        <v>1840</v>
      </c>
      <c r="Z28" s="1" t="s">
        <v>22</v>
      </c>
      <c r="AA28" s="1"/>
      <c r="AB28" s="17">
        <f>SUM(AB23:AB27)</f>
        <v>181.85124999999999</v>
      </c>
      <c r="AP28" s="1" t="s">
        <v>43</v>
      </c>
      <c r="AQ28" s="1"/>
      <c r="AR28" s="1"/>
      <c r="AS28" s="1"/>
      <c r="AT28" s="1">
        <f>AT27/AQ27</f>
        <v>0.32980000000000004</v>
      </c>
      <c r="AV28" s="111" t="s">
        <v>306</v>
      </c>
      <c r="AW28" s="111"/>
      <c r="AX28" s="111"/>
      <c r="AY28" s="111"/>
      <c r="AZ28" s="111"/>
    </row>
    <row r="29" spans="1:52" x14ac:dyDescent="0.2">
      <c r="A29" s="1" t="s">
        <v>96</v>
      </c>
      <c r="B29" s="3">
        <v>498</v>
      </c>
      <c r="C29" s="5" t="s">
        <v>97</v>
      </c>
      <c r="D29" s="7">
        <f t="shared" si="0"/>
        <v>0.498</v>
      </c>
      <c r="F29" s="1" t="s">
        <v>43</v>
      </c>
      <c r="G29" s="1"/>
      <c r="H29" s="1"/>
      <c r="I29" s="1"/>
      <c r="J29" s="20">
        <f>J28/G28</f>
        <v>9.7391339869281057E-2</v>
      </c>
      <c r="L29" s="1" t="s">
        <v>41</v>
      </c>
      <c r="M29" s="1">
        <f>SUM(M24:M28)</f>
        <v>5414</v>
      </c>
      <c r="N29" s="1" t="s">
        <v>22</v>
      </c>
      <c r="O29" s="1"/>
      <c r="P29" s="17">
        <f>SUM(P24:P28)</f>
        <v>63.754250000000006</v>
      </c>
      <c r="R29" s="1" t="s">
        <v>41</v>
      </c>
      <c r="S29" s="1">
        <f>SUM(S28:S28)</f>
        <v>3000</v>
      </c>
      <c r="T29" s="1" t="s">
        <v>22</v>
      </c>
      <c r="U29" s="1"/>
      <c r="V29" s="17">
        <f>SUM(V28:V28)</f>
        <v>1362</v>
      </c>
      <c r="X29" s="1" t="s">
        <v>43</v>
      </c>
      <c r="Y29" s="1"/>
      <c r="Z29" s="1"/>
      <c r="AA29" s="1"/>
      <c r="AB29" s="20">
        <f>AB28/Y28</f>
        <v>9.883220108695652E-2</v>
      </c>
      <c r="AV29" s="2" t="s">
        <v>111</v>
      </c>
      <c r="AW29" s="1">
        <v>1000</v>
      </c>
      <c r="AX29" s="1" t="s">
        <v>22</v>
      </c>
      <c r="AY29" s="1">
        <f>_xlfn.XLOOKUP(AV29,$A$2:$A$112,$D$2:$D$112)</f>
        <v>0.32980000000000004</v>
      </c>
      <c r="AZ29" s="1">
        <f>AY29*AW29</f>
        <v>329.8</v>
      </c>
    </row>
    <row r="30" spans="1:52" x14ac:dyDescent="0.2">
      <c r="A30" s="1" t="s">
        <v>38</v>
      </c>
      <c r="B30" s="3">
        <v>385</v>
      </c>
      <c r="C30" s="5" t="s">
        <v>12</v>
      </c>
      <c r="D30" s="6">
        <f t="shared" si="0"/>
        <v>0.38500000000000001</v>
      </c>
      <c r="J30" s="19"/>
      <c r="L30" s="1" t="s">
        <v>43</v>
      </c>
      <c r="M30" s="1"/>
      <c r="N30" s="1" t="s">
        <v>22</v>
      </c>
      <c r="O30" s="1"/>
      <c r="P30" s="1">
        <f>P29/M29</f>
        <v>1.1775812707794608E-2</v>
      </c>
      <c r="R30" s="1" t="s">
        <v>43</v>
      </c>
      <c r="S30" s="1"/>
      <c r="T30" s="1" t="s">
        <v>22</v>
      </c>
      <c r="U30" s="1"/>
      <c r="V30" s="1">
        <f>V29/S29</f>
        <v>0.45400000000000001</v>
      </c>
      <c r="AP30" s="117" t="s">
        <v>308</v>
      </c>
      <c r="AQ30" s="117"/>
      <c r="AR30" s="117"/>
      <c r="AS30" s="117"/>
      <c r="AT30" s="117"/>
      <c r="AV30" s="1" t="s">
        <v>41</v>
      </c>
      <c r="AW30" s="1">
        <f>SUM(AW29:AW29)</f>
        <v>1000</v>
      </c>
      <c r="AX30" s="1" t="s">
        <v>22</v>
      </c>
      <c r="AY30" s="1"/>
      <c r="AZ30" s="1">
        <f>SUM(AZ29:AZ29)</f>
        <v>329.8</v>
      </c>
    </row>
    <row r="31" spans="1:52" x14ac:dyDescent="0.2">
      <c r="A31" s="1" t="s">
        <v>100</v>
      </c>
      <c r="B31" s="3">
        <v>247.35</v>
      </c>
      <c r="C31" s="5" t="s">
        <v>12</v>
      </c>
      <c r="D31" s="6">
        <f t="shared" si="0"/>
        <v>0.24734999999999999</v>
      </c>
      <c r="F31" s="64" t="s">
        <v>101</v>
      </c>
      <c r="G31" s="64"/>
      <c r="H31" s="64"/>
      <c r="I31" s="64"/>
      <c r="J31" s="64"/>
      <c r="X31" s="65" t="s">
        <v>344</v>
      </c>
      <c r="Y31" s="66"/>
      <c r="Z31" s="66"/>
      <c r="AA31" s="66"/>
      <c r="AB31" s="67"/>
      <c r="AP31" s="1" t="s">
        <v>309</v>
      </c>
      <c r="AQ31" s="1">
        <v>2</v>
      </c>
      <c r="AR31" s="1" t="s">
        <v>22</v>
      </c>
      <c r="AS31" s="1">
        <v>0.32900000000000001</v>
      </c>
      <c r="AT31" s="1">
        <f>AS31*AQ31</f>
        <v>0.65800000000000003</v>
      </c>
      <c r="AV31" s="1" t="s">
        <v>43</v>
      </c>
      <c r="AW31" s="1"/>
      <c r="AX31" s="1"/>
      <c r="AY31" s="1"/>
      <c r="AZ31" s="1">
        <f>AZ30/AW30</f>
        <v>0.32980000000000004</v>
      </c>
    </row>
    <row r="32" spans="1:52" x14ac:dyDescent="0.2">
      <c r="A32" s="1" t="s">
        <v>104</v>
      </c>
      <c r="B32" s="3">
        <v>298.3</v>
      </c>
      <c r="C32" s="5" t="s">
        <v>12</v>
      </c>
      <c r="D32" s="6">
        <f t="shared" si="0"/>
        <v>0.29830000000000001</v>
      </c>
      <c r="F32" s="1" t="s">
        <v>68</v>
      </c>
      <c r="G32" s="1">
        <v>1000</v>
      </c>
      <c r="H32" s="1" t="s">
        <v>22</v>
      </c>
      <c r="I32" s="1">
        <f>_xlfn.XLOOKUP(F32,A2:A103,D2:D103)</f>
        <v>4.4999999999999998E-2</v>
      </c>
      <c r="J32" s="17">
        <f>I32*G32</f>
        <v>45</v>
      </c>
      <c r="L32" s="75" t="s">
        <v>15</v>
      </c>
      <c r="M32" s="76"/>
      <c r="N32" s="76"/>
      <c r="O32" s="76"/>
      <c r="P32" s="77"/>
      <c r="R32" s="79" t="s">
        <v>57</v>
      </c>
      <c r="S32" s="80"/>
      <c r="T32" s="80"/>
      <c r="U32" s="80"/>
      <c r="V32" s="81"/>
      <c r="X32" s="1" t="s">
        <v>340</v>
      </c>
      <c r="Y32" s="1">
        <v>45</v>
      </c>
      <c r="Z32" s="1" t="s">
        <v>22</v>
      </c>
      <c r="AA32" s="1">
        <v>9.9000000000000005E-2</v>
      </c>
      <c r="AB32" s="1">
        <f>AA32*Y32</f>
        <v>4.4550000000000001</v>
      </c>
      <c r="AP32" s="1" t="s">
        <v>311</v>
      </c>
      <c r="AQ32" s="1">
        <v>3</v>
      </c>
      <c r="AR32" s="1" t="s">
        <v>22</v>
      </c>
      <c r="AS32" s="1">
        <v>0.16753999999999999</v>
      </c>
      <c r="AT32" s="1">
        <f t="shared" ref="AT32:AT34" si="30">AS32*AQ32</f>
        <v>0.50261999999999996</v>
      </c>
    </row>
    <row r="33" spans="1:52" x14ac:dyDescent="0.2">
      <c r="A33" s="1" t="s">
        <v>48</v>
      </c>
      <c r="B33" s="3">
        <v>281.25</v>
      </c>
      <c r="C33" s="5" t="s">
        <v>12</v>
      </c>
      <c r="D33" s="6">
        <f t="shared" si="0"/>
        <v>0.28125</v>
      </c>
      <c r="F33" s="1" t="s">
        <v>26</v>
      </c>
      <c r="G33" s="1">
        <v>2000</v>
      </c>
      <c r="H33" s="1" t="s">
        <v>22</v>
      </c>
      <c r="I33" s="1">
        <f>_xlfn.XLOOKUP(F33,A3:A104,D3:D104)</f>
        <v>1.315E-2</v>
      </c>
      <c r="J33" s="17">
        <f t="shared" ref="J33:J34" si="31">I33*G33</f>
        <v>26.3</v>
      </c>
      <c r="L33" s="1" t="s">
        <v>23</v>
      </c>
      <c r="M33" s="1">
        <v>1200</v>
      </c>
      <c r="N33" s="1" t="s">
        <v>22</v>
      </c>
      <c r="O33" s="1">
        <f>_xlfn.XLOOKUP(L33,$A$2:$A$112,$D$2:$D$112)</f>
        <v>0</v>
      </c>
      <c r="P33" s="17">
        <f>M33*O33</f>
        <v>0</v>
      </c>
      <c r="R33" s="1" t="s">
        <v>63</v>
      </c>
      <c r="S33" s="1">
        <v>10000</v>
      </c>
      <c r="T33" s="1" t="s">
        <v>22</v>
      </c>
      <c r="U33" s="1">
        <f>_xlfn.XLOOKUP(R33,$A$2:$A$112,$D$2:$D$112)</f>
        <v>0.45400000000000001</v>
      </c>
      <c r="V33" s="17">
        <f>S33*U33</f>
        <v>4540</v>
      </c>
      <c r="X33" s="1" t="s">
        <v>41</v>
      </c>
      <c r="Y33" s="1"/>
      <c r="Z33" s="1"/>
      <c r="AA33" s="1"/>
      <c r="AB33" s="21">
        <f>SUM(AB32)</f>
        <v>4.4550000000000001</v>
      </c>
      <c r="AP33" s="1" t="s">
        <v>313</v>
      </c>
      <c r="AQ33" s="1">
        <v>4.5</v>
      </c>
      <c r="AR33" s="1" t="s">
        <v>22</v>
      </c>
      <c r="AS33" s="1">
        <v>0.11663</v>
      </c>
      <c r="AT33" s="1">
        <f t="shared" si="30"/>
        <v>0.52483499999999994</v>
      </c>
      <c r="AV33" s="111" t="s">
        <v>282</v>
      </c>
      <c r="AW33" s="111"/>
      <c r="AX33" s="111"/>
      <c r="AY33" s="111"/>
      <c r="AZ33" s="111"/>
    </row>
    <row r="34" spans="1:52" x14ac:dyDescent="0.2">
      <c r="A34" s="1" t="s">
        <v>105</v>
      </c>
      <c r="B34" s="3">
        <v>299.16000000000003</v>
      </c>
      <c r="C34" s="5" t="s">
        <v>12</v>
      </c>
      <c r="D34" s="6">
        <f t="shared" si="0"/>
        <v>0.29916000000000004</v>
      </c>
      <c r="F34" s="1" t="s">
        <v>23</v>
      </c>
      <c r="G34" s="1">
        <v>500</v>
      </c>
      <c r="H34" s="1" t="s">
        <v>22</v>
      </c>
      <c r="I34" s="1">
        <f>_xlfn.XLOOKUP(F34,A4:A105,D4:D105)</f>
        <v>0</v>
      </c>
      <c r="J34" s="17">
        <f t="shared" si="31"/>
        <v>0</v>
      </c>
      <c r="L34" s="1" t="s">
        <v>25</v>
      </c>
      <c r="M34" s="1">
        <v>1200</v>
      </c>
      <c r="N34" s="1" t="s">
        <v>22</v>
      </c>
      <c r="O34" s="1">
        <f t="shared" ref="O34:O39" si="32">_xlfn.XLOOKUP(L34,$A$2:$A$112,$D$2:$D$112)</f>
        <v>1.8839999999999999E-2</v>
      </c>
      <c r="P34" s="17">
        <f t="shared" ref="P34:P39" si="33">M34*O34</f>
        <v>22.608000000000001</v>
      </c>
      <c r="R34" s="1" t="s">
        <v>26</v>
      </c>
      <c r="S34" s="1">
        <v>4300</v>
      </c>
      <c r="T34" s="1" t="s">
        <v>22</v>
      </c>
      <c r="U34" s="1">
        <f t="shared" ref="U34:U36" si="34">_xlfn.XLOOKUP(R34,$A$2:$A$112,$D$2:$D$112)</f>
        <v>1.315E-2</v>
      </c>
      <c r="V34" s="17">
        <f t="shared" ref="V34:V36" si="35">S34*U34</f>
        <v>56.545000000000002</v>
      </c>
      <c r="AP34" s="1" t="s">
        <v>315</v>
      </c>
      <c r="AQ34" s="1">
        <v>0.5</v>
      </c>
      <c r="AR34" s="1" t="s">
        <v>22</v>
      </c>
      <c r="AS34" s="1">
        <v>0.38947999999999999</v>
      </c>
      <c r="AT34" s="1">
        <f t="shared" si="30"/>
        <v>0.19474</v>
      </c>
      <c r="AV34" s="1" t="s">
        <v>309</v>
      </c>
      <c r="AW34" s="1">
        <v>2</v>
      </c>
      <c r="AX34" s="1" t="s">
        <v>22</v>
      </c>
      <c r="AY34" s="1">
        <v>0.32979999999999998</v>
      </c>
      <c r="AZ34" s="1">
        <f>AY34*AW34</f>
        <v>0.65959999999999996</v>
      </c>
    </row>
    <row r="35" spans="1:52" ht="27.75" x14ac:dyDescent="0.2">
      <c r="A35" s="2" t="s">
        <v>106</v>
      </c>
      <c r="B35" s="3">
        <v>432.5</v>
      </c>
      <c r="C35" s="5" t="s">
        <v>12</v>
      </c>
      <c r="D35" s="6">
        <f t="shared" si="0"/>
        <v>0.4325</v>
      </c>
      <c r="F35" s="8" t="s">
        <v>41</v>
      </c>
      <c r="G35" s="8">
        <f>SUM(G32:G34)</f>
        <v>3500</v>
      </c>
      <c r="H35" s="8" t="s">
        <v>22</v>
      </c>
      <c r="I35" s="8"/>
      <c r="J35" s="18">
        <f>SUM(J32:J34)</f>
        <v>71.3</v>
      </c>
      <c r="L35" s="1" t="s">
        <v>24</v>
      </c>
      <c r="M35" s="1">
        <v>960</v>
      </c>
      <c r="N35" s="1" t="s">
        <v>22</v>
      </c>
      <c r="O35" s="1">
        <f t="shared" si="32"/>
        <v>7.6060000000000003E-2</v>
      </c>
      <c r="P35" s="17">
        <f t="shared" si="33"/>
        <v>73.017600000000002</v>
      </c>
      <c r="R35" s="1" t="s">
        <v>64</v>
      </c>
      <c r="S35" s="1">
        <v>1700</v>
      </c>
      <c r="T35" s="1" t="s">
        <v>22</v>
      </c>
      <c r="U35" s="1">
        <f t="shared" si="34"/>
        <v>3.7899999999999996E-2</v>
      </c>
      <c r="V35" s="17">
        <f t="shared" si="35"/>
        <v>64.429999999999993</v>
      </c>
      <c r="X35" s="136" t="s">
        <v>345</v>
      </c>
      <c r="Y35" s="137"/>
      <c r="Z35" s="137"/>
      <c r="AA35" s="137"/>
      <c r="AB35" s="138"/>
      <c r="AP35" s="1" t="s">
        <v>41</v>
      </c>
      <c r="AQ35" s="1"/>
      <c r="AR35" s="1"/>
      <c r="AS35" s="1"/>
      <c r="AT35" s="21">
        <f>SUM(AT31:AT34)</f>
        <v>1.8801949999999998</v>
      </c>
      <c r="AV35" s="1" t="s">
        <v>288</v>
      </c>
      <c r="AW35" s="1">
        <v>4.5</v>
      </c>
      <c r="AX35" s="1" t="s">
        <v>22</v>
      </c>
      <c r="AY35" s="1">
        <v>9.1259999999999994E-2</v>
      </c>
      <c r="AZ35" s="1">
        <f t="shared" ref="AZ35:AZ37" si="36">AY35*AW35</f>
        <v>0.41066999999999998</v>
      </c>
    </row>
    <row r="36" spans="1:52" x14ac:dyDescent="0.2">
      <c r="A36" s="2" t="s">
        <v>107</v>
      </c>
      <c r="B36" s="3">
        <v>317</v>
      </c>
      <c r="C36" s="5" t="s">
        <v>12</v>
      </c>
      <c r="D36" s="6">
        <f t="shared" si="0"/>
        <v>0.317</v>
      </c>
      <c r="F36" s="1" t="s">
        <v>43</v>
      </c>
      <c r="G36" s="1"/>
      <c r="H36" s="1"/>
      <c r="I36" s="1"/>
      <c r="J36" s="20">
        <f>J35/G35</f>
        <v>2.0371428571428572E-2</v>
      </c>
      <c r="L36" s="1" t="s">
        <v>26</v>
      </c>
      <c r="M36" s="1">
        <v>48</v>
      </c>
      <c r="N36" s="1" t="s">
        <v>22</v>
      </c>
      <c r="O36" s="1">
        <f t="shared" si="32"/>
        <v>1.315E-2</v>
      </c>
      <c r="P36" s="17">
        <f t="shared" si="33"/>
        <v>0.63119999999999998</v>
      </c>
      <c r="R36" s="1" t="s">
        <v>30</v>
      </c>
      <c r="S36" s="1">
        <v>100</v>
      </c>
      <c r="T36" s="1" t="s">
        <v>22</v>
      </c>
      <c r="U36" s="1">
        <f t="shared" si="34"/>
        <v>5.2500000000000003E-3</v>
      </c>
      <c r="V36" s="17">
        <f t="shared" si="35"/>
        <v>0.52500000000000002</v>
      </c>
      <c r="AV36" s="1" t="s">
        <v>316</v>
      </c>
      <c r="AW36" s="1">
        <v>3</v>
      </c>
      <c r="AX36" s="1" t="s">
        <v>22</v>
      </c>
      <c r="AY36" s="1">
        <v>0.18820000000000001</v>
      </c>
      <c r="AZ36" s="1">
        <f t="shared" si="36"/>
        <v>0.56459999999999999</v>
      </c>
    </row>
    <row r="37" spans="1:52" x14ac:dyDescent="0.2">
      <c r="A37" s="2" t="s">
        <v>66</v>
      </c>
      <c r="B37" s="3">
        <v>356</v>
      </c>
      <c r="C37" s="5" t="s">
        <v>12</v>
      </c>
      <c r="D37" s="6">
        <f t="shared" si="0"/>
        <v>0.35599999999999998</v>
      </c>
      <c r="J37" s="19"/>
      <c r="L37" s="8" t="s">
        <v>30</v>
      </c>
      <c r="M37" s="8">
        <v>38</v>
      </c>
      <c r="N37" s="8" t="s">
        <v>22</v>
      </c>
      <c r="O37" s="1">
        <f t="shared" si="32"/>
        <v>5.2500000000000003E-3</v>
      </c>
      <c r="P37" s="18">
        <f t="shared" si="33"/>
        <v>0.19950000000000001</v>
      </c>
      <c r="R37" s="1" t="s">
        <v>41</v>
      </c>
      <c r="S37" s="1">
        <f>SUM(S33:S36)</f>
        <v>16100</v>
      </c>
      <c r="T37" s="1" t="s">
        <v>22</v>
      </c>
      <c r="U37" s="1"/>
      <c r="V37" s="17">
        <f>SUM(V33:V36)</f>
        <v>4661.5</v>
      </c>
      <c r="X37" s="133" t="s">
        <v>345</v>
      </c>
      <c r="Y37" s="134"/>
      <c r="Z37" s="134"/>
      <c r="AA37" s="134"/>
      <c r="AB37" s="135"/>
      <c r="AP37" s="117" t="s">
        <v>127</v>
      </c>
      <c r="AQ37" s="117"/>
      <c r="AR37" s="117"/>
      <c r="AS37" s="117"/>
      <c r="AT37" s="117"/>
      <c r="AV37" s="1" t="s">
        <v>318</v>
      </c>
      <c r="AW37" s="1">
        <v>0.5</v>
      </c>
      <c r="AX37" s="1" t="s">
        <v>22</v>
      </c>
      <c r="AY37" s="1">
        <v>0.40318999999999999</v>
      </c>
      <c r="AZ37" s="1">
        <f t="shared" si="36"/>
        <v>0.201595</v>
      </c>
    </row>
    <row r="38" spans="1:52" x14ac:dyDescent="0.2">
      <c r="A38" s="2" t="s">
        <v>36</v>
      </c>
      <c r="B38" s="3">
        <v>329</v>
      </c>
      <c r="C38" s="5" t="s">
        <v>12</v>
      </c>
      <c r="D38" s="6">
        <f t="shared" si="0"/>
        <v>0.32900000000000001</v>
      </c>
      <c r="F38" s="64" t="s">
        <v>49</v>
      </c>
      <c r="G38" s="64"/>
      <c r="H38" s="64"/>
      <c r="I38" s="64"/>
      <c r="J38" s="64"/>
      <c r="L38" s="1" t="s">
        <v>21</v>
      </c>
      <c r="M38" s="1">
        <v>1440</v>
      </c>
      <c r="N38" s="1" t="s">
        <v>22</v>
      </c>
      <c r="O38" s="1">
        <f t="shared" si="32"/>
        <v>1.159E-2</v>
      </c>
      <c r="P38" s="18">
        <f t="shared" si="33"/>
        <v>16.689599999999999</v>
      </c>
      <c r="R38" s="1" t="s">
        <v>43</v>
      </c>
      <c r="S38" s="1"/>
      <c r="T38" s="1" t="s">
        <v>22</v>
      </c>
      <c r="U38" s="1"/>
      <c r="V38" s="1">
        <f>V37/S37</f>
        <v>0.28953416149068323</v>
      </c>
      <c r="X38" s="1" t="s">
        <v>39</v>
      </c>
      <c r="Y38" s="1">
        <v>1000</v>
      </c>
      <c r="Z38" s="1" t="s">
        <v>22</v>
      </c>
      <c r="AA38" s="1">
        <f>_xlfn.XLOOKUP(X38,$A$2:$A$113,$D$2:$D$113)</f>
        <v>5.6149999999999999E-2</v>
      </c>
      <c r="AB38" s="17">
        <f>AA38*Y38</f>
        <v>56.15</v>
      </c>
      <c r="AP38" s="1" t="s">
        <v>313</v>
      </c>
      <c r="AQ38" s="1">
        <v>20</v>
      </c>
      <c r="AR38" s="1" t="s">
        <v>129</v>
      </c>
      <c r="AS38" s="55" t="s">
        <v>322</v>
      </c>
      <c r="AT38" s="56"/>
      <c r="AV38" s="1" t="s">
        <v>41</v>
      </c>
      <c r="AW38" s="1"/>
      <c r="AX38" s="1"/>
      <c r="AY38" s="1"/>
      <c r="AZ38" s="21">
        <f>SUM(AZ34:AZ37)</f>
        <v>1.8364649999999998</v>
      </c>
    </row>
    <row r="39" spans="1:52" x14ac:dyDescent="0.2">
      <c r="A39" s="2" t="s">
        <v>111</v>
      </c>
      <c r="B39" s="3">
        <v>329.8</v>
      </c>
      <c r="C39" s="5" t="s">
        <v>12</v>
      </c>
      <c r="D39" s="6">
        <f t="shared" si="0"/>
        <v>0.32980000000000004</v>
      </c>
      <c r="F39" s="1" t="s">
        <v>34</v>
      </c>
      <c r="G39" s="1">
        <v>225</v>
      </c>
      <c r="H39" s="1" t="s">
        <v>22</v>
      </c>
      <c r="I39" s="1">
        <f>_xlfn.XLOOKUP(F39,A19:A120,D19:D120)</f>
        <v>0.188</v>
      </c>
      <c r="J39" s="17">
        <f>I39*G39</f>
        <v>42.3</v>
      </c>
      <c r="L39" s="1" t="s">
        <v>28</v>
      </c>
      <c r="M39" s="1">
        <v>2160</v>
      </c>
      <c r="N39" s="1" t="s">
        <v>22</v>
      </c>
      <c r="O39" s="1">
        <f t="shared" si="32"/>
        <v>7.0999999999999994E-2</v>
      </c>
      <c r="P39" s="18">
        <f t="shared" si="33"/>
        <v>153.35999999999999</v>
      </c>
      <c r="X39" s="1" t="s">
        <v>346</v>
      </c>
      <c r="Y39" s="1">
        <v>150</v>
      </c>
      <c r="Z39" s="1" t="s">
        <v>22</v>
      </c>
      <c r="AA39" s="1">
        <f t="shared" ref="AA39" si="37">_xlfn.XLOOKUP(X39,$A$2:$A$112,$D$2:$D$112)</f>
        <v>1.6750000000000001E-2</v>
      </c>
      <c r="AB39" s="17">
        <f t="shared" ref="AB39" si="38">AA39*Y39</f>
        <v>2.5125000000000002</v>
      </c>
      <c r="AP39" s="1" t="s">
        <v>311</v>
      </c>
      <c r="AQ39" s="1">
        <v>20</v>
      </c>
      <c r="AR39" s="1" t="s">
        <v>129</v>
      </c>
      <c r="AS39" s="55" t="s">
        <v>323</v>
      </c>
      <c r="AT39" s="56"/>
    </row>
    <row r="40" spans="1:52" x14ac:dyDescent="0.2">
      <c r="A40" s="1" t="s">
        <v>113</v>
      </c>
      <c r="B40" s="3">
        <v>445.5</v>
      </c>
      <c r="C40" s="5" t="s">
        <v>12</v>
      </c>
      <c r="D40" s="6">
        <f t="shared" si="0"/>
        <v>0.44550000000000001</v>
      </c>
      <c r="F40" s="1" t="s">
        <v>28</v>
      </c>
      <c r="G40" s="1">
        <v>342</v>
      </c>
      <c r="H40" s="1" t="s">
        <v>22</v>
      </c>
      <c r="I40" s="1">
        <f>_xlfn.XLOOKUP(F40,A20:A121,D20:D121)</f>
        <v>7.0999999999999994E-2</v>
      </c>
      <c r="J40" s="17">
        <f t="shared" ref="J40:J44" si="39">I40*G40</f>
        <v>24.281999999999996</v>
      </c>
      <c r="L40" s="1" t="s">
        <v>41</v>
      </c>
      <c r="M40" s="1">
        <f>SUM(M33:M39)</f>
        <v>7046</v>
      </c>
      <c r="N40" s="1" t="s">
        <v>22</v>
      </c>
      <c r="O40" s="1"/>
      <c r="P40" s="17">
        <f>SUM(P33:P39)</f>
        <v>266.5059</v>
      </c>
      <c r="R40" s="79" t="s">
        <v>138</v>
      </c>
      <c r="S40" s="80"/>
      <c r="T40" s="80"/>
      <c r="U40" s="80"/>
      <c r="V40" s="81"/>
      <c r="X40" s="1" t="s">
        <v>41</v>
      </c>
      <c r="Y40" s="1">
        <f>SUM(Y38:Y39)</f>
        <v>1150</v>
      </c>
      <c r="Z40" s="1" t="s">
        <v>22</v>
      </c>
      <c r="AA40" s="1"/>
      <c r="AB40" s="17">
        <f>SUM(AB38:AB39)</f>
        <v>58.662500000000001</v>
      </c>
      <c r="AP40" s="1" t="s">
        <v>324</v>
      </c>
      <c r="AQ40" s="1">
        <v>170</v>
      </c>
      <c r="AR40" s="1" t="s">
        <v>129</v>
      </c>
      <c r="AS40" s="55">
        <v>630</v>
      </c>
      <c r="AT40" s="56"/>
      <c r="AV40" s="111" t="s">
        <v>127</v>
      </c>
      <c r="AW40" s="111"/>
      <c r="AX40" s="111"/>
      <c r="AY40" s="111"/>
      <c r="AZ40" s="111"/>
    </row>
    <row r="41" spans="1:52" x14ac:dyDescent="0.2">
      <c r="A41" s="1" t="s">
        <v>115</v>
      </c>
      <c r="B41" s="3">
        <v>24.09</v>
      </c>
      <c r="C41" s="5" t="s">
        <v>12</v>
      </c>
      <c r="D41" s="6">
        <f t="shared" si="0"/>
        <v>2.409E-2</v>
      </c>
      <c r="F41" s="1" t="s">
        <v>26</v>
      </c>
      <c r="G41" s="1">
        <v>420</v>
      </c>
      <c r="H41" s="1" t="s">
        <v>22</v>
      </c>
      <c r="I41" s="1">
        <f>_xlfn.XLOOKUP(F41,A2:A122,D2:D122)</f>
        <v>1.315E-2</v>
      </c>
      <c r="J41" s="17">
        <f t="shared" si="39"/>
        <v>5.5229999999999997</v>
      </c>
      <c r="L41" s="1" t="s">
        <v>43</v>
      </c>
      <c r="M41" s="1"/>
      <c r="N41" s="1" t="s">
        <v>22</v>
      </c>
      <c r="O41" s="1"/>
      <c r="P41" s="1">
        <f>P40/M40</f>
        <v>3.7823715583309679E-2</v>
      </c>
      <c r="R41" s="1" t="s">
        <v>117</v>
      </c>
      <c r="S41" s="1">
        <v>21</v>
      </c>
      <c r="T41" s="1" t="s">
        <v>22</v>
      </c>
      <c r="U41" s="20">
        <v>7.5600000000000001E-2</v>
      </c>
      <c r="V41" s="17">
        <f>U41*S41</f>
        <v>1.5876000000000001</v>
      </c>
      <c r="X41" s="1" t="s">
        <v>43</v>
      </c>
      <c r="Y41" s="1"/>
      <c r="Z41" s="1"/>
      <c r="AA41" s="1"/>
      <c r="AB41" s="20">
        <f>AB40/Y40</f>
        <v>5.1010869565217394E-2</v>
      </c>
      <c r="AP41" s="1" t="s">
        <v>325</v>
      </c>
      <c r="AQ41" s="1">
        <v>45</v>
      </c>
      <c r="AR41" s="1" t="s">
        <v>129</v>
      </c>
      <c r="AS41" s="55">
        <v>630</v>
      </c>
      <c r="AT41" s="56"/>
      <c r="AV41" s="1" t="s">
        <v>316</v>
      </c>
      <c r="AW41" s="1">
        <v>20</v>
      </c>
      <c r="AX41" s="1" t="s">
        <v>129</v>
      </c>
      <c r="AY41" s="55" t="s">
        <v>322</v>
      </c>
      <c r="AZ41" s="56"/>
    </row>
    <row r="42" spans="1:52" x14ac:dyDescent="0.2">
      <c r="A42" s="1" t="s">
        <v>120</v>
      </c>
      <c r="B42" s="3">
        <v>41.4</v>
      </c>
      <c r="C42" s="5" t="s">
        <v>12</v>
      </c>
      <c r="D42" s="6">
        <f t="shared" si="0"/>
        <v>4.1399999999999999E-2</v>
      </c>
      <c r="F42" s="1" t="s">
        <v>35</v>
      </c>
      <c r="G42" s="1">
        <v>312</v>
      </c>
      <c r="H42" s="1" t="s">
        <v>22</v>
      </c>
      <c r="I42" s="1">
        <f>_xlfn.XLOOKUP(F42,A3:A123,D3:D123)</f>
        <v>4.9500000000000002E-2</v>
      </c>
      <c r="J42" s="17">
        <f t="shared" si="39"/>
        <v>15.444000000000001</v>
      </c>
      <c r="R42" s="1" t="s">
        <v>121</v>
      </c>
      <c r="S42" s="1">
        <v>4</v>
      </c>
      <c r="T42" s="1" t="s">
        <v>22</v>
      </c>
      <c r="U42" s="1">
        <v>4.2599999999999999E-2</v>
      </c>
      <c r="V42" s="17">
        <f t="shared" ref="V42:V45" si="40">U42*S42</f>
        <v>0.1704</v>
      </c>
      <c r="AP42" s="1" t="s">
        <v>326</v>
      </c>
      <c r="AQ42" s="1">
        <v>30</v>
      </c>
      <c r="AR42" s="1" t="s">
        <v>129</v>
      </c>
      <c r="AS42" s="55">
        <v>630</v>
      </c>
      <c r="AT42" s="56"/>
      <c r="AV42" s="1" t="s">
        <v>520</v>
      </c>
      <c r="AW42" s="1">
        <v>20</v>
      </c>
      <c r="AX42" s="1" t="s">
        <v>129</v>
      </c>
      <c r="AY42" s="55" t="s">
        <v>323</v>
      </c>
      <c r="AZ42" s="56"/>
    </row>
    <row r="43" spans="1:52" x14ac:dyDescent="0.2">
      <c r="A43" s="1" t="s">
        <v>122</v>
      </c>
      <c r="B43" s="3">
        <v>63.2</v>
      </c>
      <c r="C43" s="5" t="s">
        <v>12</v>
      </c>
      <c r="D43" s="6">
        <f t="shared" si="0"/>
        <v>6.3200000000000006E-2</v>
      </c>
      <c r="F43" s="1" t="s">
        <v>68</v>
      </c>
      <c r="G43" s="1">
        <v>435</v>
      </c>
      <c r="H43" s="1" t="s">
        <v>22</v>
      </c>
      <c r="I43" s="1">
        <f>_xlfn.XLOOKUP(F43,A4:A124,D4:D124)</f>
        <v>4.4999999999999998E-2</v>
      </c>
      <c r="J43" s="17">
        <f t="shared" si="39"/>
        <v>19.574999999999999</v>
      </c>
      <c r="L43" s="62" t="s">
        <v>124</v>
      </c>
      <c r="M43" s="62"/>
      <c r="N43" s="62"/>
      <c r="O43" s="62"/>
      <c r="P43" s="62"/>
      <c r="R43" s="1" t="s">
        <v>94</v>
      </c>
      <c r="S43" s="1">
        <v>1.7</v>
      </c>
      <c r="T43" s="1" t="s">
        <v>22</v>
      </c>
      <c r="U43" s="1">
        <v>0.45400000000000001</v>
      </c>
      <c r="V43" s="17">
        <f t="shared" si="40"/>
        <v>0.77180000000000004</v>
      </c>
      <c r="X43" s="133" t="s">
        <v>347</v>
      </c>
      <c r="Y43" s="134"/>
      <c r="Z43" s="134"/>
      <c r="AA43" s="134"/>
      <c r="AB43" s="135"/>
      <c r="AP43" s="1" t="s">
        <v>327</v>
      </c>
      <c r="AQ43" s="1">
        <v>50</v>
      </c>
      <c r="AR43" s="1" t="s">
        <v>129</v>
      </c>
      <c r="AS43" s="55">
        <v>630</v>
      </c>
      <c r="AT43" s="56"/>
      <c r="AV43" s="1" t="s">
        <v>324</v>
      </c>
      <c r="AW43" s="1">
        <v>170</v>
      </c>
      <c r="AX43" s="1" t="s">
        <v>129</v>
      </c>
      <c r="AY43" s="55">
        <v>630</v>
      </c>
      <c r="AZ43" s="56"/>
    </row>
    <row r="44" spans="1:52" x14ac:dyDescent="0.2">
      <c r="A44" s="1" t="s">
        <v>126</v>
      </c>
      <c r="B44" s="3">
        <v>173.49</v>
      </c>
      <c r="C44" s="5" t="s">
        <v>12</v>
      </c>
      <c r="D44" s="6">
        <f t="shared" si="0"/>
        <v>0.17349000000000001</v>
      </c>
      <c r="F44" s="1" t="s">
        <v>26</v>
      </c>
      <c r="G44" s="1">
        <v>240</v>
      </c>
      <c r="H44" s="1" t="s">
        <v>22</v>
      </c>
      <c r="I44" s="1">
        <f>_xlfn.XLOOKUP(F44,A5:A125,D5:D125)</f>
        <v>1.315E-2</v>
      </c>
      <c r="J44" s="17">
        <f t="shared" si="39"/>
        <v>3.1560000000000001</v>
      </c>
      <c r="L44" s="1" t="s">
        <v>25</v>
      </c>
      <c r="M44" s="1">
        <v>1000</v>
      </c>
      <c r="N44" s="1" t="s">
        <v>22</v>
      </c>
      <c r="O44" s="1">
        <f>_xlfn.XLOOKUP(L44,$A$2:$A$112,$D$2:$D$112)</f>
        <v>1.8839999999999999E-2</v>
      </c>
      <c r="P44" s="17">
        <f>O44*M44</f>
        <v>18.84</v>
      </c>
      <c r="R44" s="1" t="s">
        <v>82</v>
      </c>
      <c r="S44" s="1">
        <v>4</v>
      </c>
      <c r="T44" s="1" t="s">
        <v>22</v>
      </c>
      <c r="U44" s="1">
        <v>0.28899999999999998</v>
      </c>
      <c r="V44" s="17">
        <f t="shared" si="40"/>
        <v>1.1559999999999999</v>
      </c>
      <c r="X44" s="1" t="s">
        <v>345</v>
      </c>
      <c r="Y44" s="1">
        <v>13.5</v>
      </c>
      <c r="Z44" s="1" t="s">
        <v>22</v>
      </c>
      <c r="AA44" s="1">
        <v>5.0999999999999997E-2</v>
      </c>
      <c r="AB44" s="1">
        <f>AA44*Y44</f>
        <v>0.6885</v>
      </c>
      <c r="AP44" s="1" t="s">
        <v>328</v>
      </c>
      <c r="AQ44" s="1">
        <v>46</v>
      </c>
      <c r="AR44" s="1" t="s">
        <v>129</v>
      </c>
      <c r="AS44" s="55">
        <v>822</v>
      </c>
      <c r="AT44" s="56"/>
      <c r="AV44" s="1" t="s">
        <v>325</v>
      </c>
      <c r="AW44" s="1">
        <v>45</v>
      </c>
      <c r="AX44" s="1" t="s">
        <v>129</v>
      </c>
      <c r="AY44" s="55">
        <v>630</v>
      </c>
      <c r="AZ44" s="56"/>
    </row>
    <row r="45" spans="1:52" x14ac:dyDescent="0.2">
      <c r="A45" s="1" t="s">
        <v>29</v>
      </c>
      <c r="B45" s="3">
        <v>81</v>
      </c>
      <c r="C45" s="5" t="s">
        <v>12</v>
      </c>
      <c r="D45" s="6">
        <f t="shared" si="0"/>
        <v>8.1000000000000003E-2</v>
      </c>
      <c r="F45" s="8" t="s">
        <v>41</v>
      </c>
      <c r="G45" s="8">
        <f>SUM(G39:G44)</f>
        <v>1974</v>
      </c>
      <c r="H45" s="8" t="s">
        <v>22</v>
      </c>
      <c r="I45" s="8"/>
      <c r="J45" s="18">
        <f>SUM(J39:J44)</f>
        <v>110.28</v>
      </c>
      <c r="L45" s="1" t="s">
        <v>29</v>
      </c>
      <c r="M45" s="1">
        <v>50</v>
      </c>
      <c r="N45" s="1" t="s">
        <v>22</v>
      </c>
      <c r="O45" s="1">
        <f t="shared" ref="O45:O48" si="41">_xlfn.XLOOKUP(L45,$A$2:$A$112,$D$2:$D$112)</f>
        <v>8.1000000000000003E-2</v>
      </c>
      <c r="P45" s="17">
        <f t="shared" ref="P45:P48" si="42">O45*M45</f>
        <v>4.05</v>
      </c>
      <c r="R45" s="1" t="s">
        <v>53</v>
      </c>
      <c r="S45" s="1">
        <v>0.5</v>
      </c>
      <c r="T45" s="1" t="s">
        <v>22</v>
      </c>
      <c r="U45" s="1">
        <v>0.51200000000000001</v>
      </c>
      <c r="V45" s="17">
        <f t="shared" si="40"/>
        <v>0.25600000000000001</v>
      </c>
      <c r="X45" s="1" t="s">
        <v>41</v>
      </c>
      <c r="Y45" s="1"/>
      <c r="Z45" s="1"/>
      <c r="AA45" s="1"/>
      <c r="AB45" s="21">
        <f>SUM(AB44)</f>
        <v>0.6885</v>
      </c>
      <c r="AP45" s="1" t="s">
        <v>237</v>
      </c>
      <c r="AQ45" s="1">
        <f>SUM(AQ38:AQ44)</f>
        <v>381</v>
      </c>
      <c r="AR45" s="1" t="s">
        <v>129</v>
      </c>
      <c r="AS45" s="55" t="s">
        <v>329</v>
      </c>
      <c r="AT45" s="56"/>
      <c r="AV45" s="1" t="s">
        <v>326</v>
      </c>
      <c r="AW45" s="1">
        <v>30</v>
      </c>
      <c r="AX45" s="1" t="s">
        <v>129</v>
      </c>
      <c r="AY45" s="55">
        <v>630</v>
      </c>
      <c r="AZ45" s="56"/>
    </row>
    <row r="46" spans="1:52" x14ac:dyDescent="0.2">
      <c r="A46" s="1" t="s">
        <v>90</v>
      </c>
      <c r="B46" s="3">
        <v>930</v>
      </c>
      <c r="C46" s="5" t="s">
        <v>12</v>
      </c>
      <c r="D46" s="6">
        <f t="shared" si="0"/>
        <v>0.93</v>
      </c>
      <c r="F46" s="1" t="s">
        <v>43</v>
      </c>
      <c r="G46" s="1"/>
      <c r="H46" s="1"/>
      <c r="I46" s="1"/>
      <c r="J46" s="20">
        <f>J45/G45</f>
        <v>5.5866261398176291E-2</v>
      </c>
      <c r="L46" s="1" t="s">
        <v>33</v>
      </c>
      <c r="M46" s="1">
        <v>150</v>
      </c>
      <c r="N46" s="1" t="s">
        <v>22</v>
      </c>
      <c r="O46" s="1">
        <f t="shared" si="41"/>
        <v>0.13930000000000001</v>
      </c>
      <c r="P46" s="17">
        <f t="shared" si="42"/>
        <v>20.895</v>
      </c>
      <c r="R46" s="1" t="s">
        <v>41</v>
      </c>
      <c r="S46" s="1"/>
      <c r="T46" s="1"/>
      <c r="U46" s="1"/>
      <c r="V46" s="21">
        <f>SUM(V41:V45)</f>
        <v>3.9417999999999997</v>
      </c>
      <c r="AP46" s="33" t="s">
        <v>240</v>
      </c>
      <c r="AQ46" s="35">
        <f>AQ45/630</f>
        <v>0.60476190476190472</v>
      </c>
      <c r="AR46" s="33" t="s">
        <v>129</v>
      </c>
      <c r="AS46" s="57" t="s">
        <v>330</v>
      </c>
      <c r="AT46" s="58"/>
      <c r="AV46" s="1" t="s">
        <v>327</v>
      </c>
      <c r="AW46" s="1">
        <v>50</v>
      </c>
      <c r="AX46" s="1" t="s">
        <v>129</v>
      </c>
      <c r="AY46" s="55">
        <v>630</v>
      </c>
      <c r="AZ46" s="56"/>
    </row>
    <row r="47" spans="1:52" x14ac:dyDescent="0.2">
      <c r="A47" s="1" t="s">
        <v>130</v>
      </c>
      <c r="B47" s="3">
        <v>750</v>
      </c>
      <c r="C47" s="5" t="s">
        <v>12</v>
      </c>
      <c r="D47" s="6">
        <f t="shared" si="0"/>
        <v>0.75</v>
      </c>
      <c r="J47" s="19"/>
      <c r="L47" s="2" t="s">
        <v>111</v>
      </c>
      <c r="M47" s="1">
        <v>1750</v>
      </c>
      <c r="N47" s="1" t="s">
        <v>22</v>
      </c>
      <c r="O47" s="1">
        <f t="shared" si="41"/>
        <v>0.32980000000000004</v>
      </c>
      <c r="P47" s="17">
        <f t="shared" si="42"/>
        <v>577.15000000000009</v>
      </c>
      <c r="AV47" s="1" t="s">
        <v>328</v>
      </c>
      <c r="AW47" s="1">
        <v>46</v>
      </c>
      <c r="AX47" s="1" t="s">
        <v>129</v>
      </c>
      <c r="AY47" s="55">
        <v>822</v>
      </c>
      <c r="AZ47" s="56"/>
    </row>
    <row r="48" spans="1:52" x14ac:dyDescent="0.2">
      <c r="A48" s="1" t="s">
        <v>135</v>
      </c>
      <c r="B48" s="3">
        <v>1224</v>
      </c>
      <c r="C48" s="5" t="s">
        <v>12</v>
      </c>
      <c r="D48" s="6">
        <f t="shared" si="0"/>
        <v>1.224</v>
      </c>
      <c r="F48" s="64" t="s">
        <v>156</v>
      </c>
      <c r="G48" s="64"/>
      <c r="H48" s="64"/>
      <c r="I48" s="64"/>
      <c r="J48" s="64"/>
      <c r="L48" s="1" t="s">
        <v>39</v>
      </c>
      <c r="M48" s="1">
        <v>2000</v>
      </c>
      <c r="N48" s="1" t="s">
        <v>22</v>
      </c>
      <c r="O48" s="1">
        <f t="shared" si="41"/>
        <v>5.6149999999999999E-2</v>
      </c>
      <c r="P48" s="17">
        <f t="shared" si="42"/>
        <v>112.3</v>
      </c>
      <c r="R48" s="100" t="s">
        <v>127</v>
      </c>
      <c r="S48" s="100"/>
      <c r="T48" s="100"/>
      <c r="U48" s="100"/>
      <c r="V48" s="100"/>
      <c r="X48" s="62" t="s">
        <v>127</v>
      </c>
      <c r="Y48" s="62"/>
      <c r="Z48" s="62"/>
      <c r="AA48" s="62"/>
      <c r="AB48" s="62"/>
      <c r="AP48" s="131" t="s">
        <v>281</v>
      </c>
      <c r="AQ48" s="132"/>
      <c r="AV48" s="1" t="s">
        <v>237</v>
      </c>
      <c r="AW48" s="1">
        <f>SUM(AW41:AW47)</f>
        <v>381</v>
      </c>
      <c r="AX48" s="1" t="s">
        <v>129</v>
      </c>
      <c r="AY48" s="55" t="s">
        <v>329</v>
      </c>
      <c r="AZ48" s="56"/>
    </row>
    <row r="49" spans="1:52" x14ac:dyDescent="0.2">
      <c r="A49" s="1" t="s">
        <v>140</v>
      </c>
      <c r="B49" s="3">
        <v>760</v>
      </c>
      <c r="C49" s="5" t="s">
        <v>12</v>
      </c>
      <c r="D49" s="6">
        <f t="shared" si="0"/>
        <v>0.76</v>
      </c>
      <c r="F49" s="1" t="s">
        <v>141</v>
      </c>
      <c r="G49" s="1">
        <v>11</v>
      </c>
      <c r="H49" s="1" t="s">
        <v>22</v>
      </c>
      <c r="I49" s="20">
        <v>5.2999999999999999E-2</v>
      </c>
      <c r="J49" s="17">
        <f>I49*G49</f>
        <v>0.58299999999999996</v>
      </c>
      <c r="L49" s="8" t="s">
        <v>41</v>
      </c>
      <c r="M49" s="8">
        <f>SUM(M44:M48)</f>
        <v>4950</v>
      </c>
      <c r="N49" s="8" t="s">
        <v>22</v>
      </c>
      <c r="O49" s="8"/>
      <c r="P49" s="18">
        <f>SUM(P44:P48)</f>
        <v>733.23500000000001</v>
      </c>
      <c r="R49" s="1" t="s">
        <v>667</v>
      </c>
      <c r="S49" s="1">
        <v>450</v>
      </c>
      <c r="T49" s="1" t="s">
        <v>129</v>
      </c>
      <c r="U49" s="55" t="s">
        <v>566</v>
      </c>
      <c r="V49" s="56"/>
      <c r="X49" s="1" t="s">
        <v>557</v>
      </c>
      <c r="Y49" s="1">
        <v>5</v>
      </c>
      <c r="Z49" s="1" t="s">
        <v>129</v>
      </c>
      <c r="AA49" s="55" t="s">
        <v>558</v>
      </c>
      <c r="AB49" s="56"/>
      <c r="AP49" s="43" t="s">
        <v>415</v>
      </c>
      <c r="AQ49" s="43">
        <f>AT35</f>
        <v>1.8801949999999998</v>
      </c>
      <c r="AV49" s="33" t="s">
        <v>240</v>
      </c>
      <c r="AW49" s="35">
        <f>AW48/630</f>
        <v>0.60476190476190472</v>
      </c>
      <c r="AX49" s="33" t="s">
        <v>129</v>
      </c>
      <c r="AY49" s="57" t="s">
        <v>330</v>
      </c>
      <c r="AZ49" s="58"/>
    </row>
    <row r="50" spans="1:52" x14ac:dyDescent="0.2">
      <c r="A50" s="1" t="s">
        <v>44</v>
      </c>
      <c r="B50" s="3">
        <v>658</v>
      </c>
      <c r="C50" s="5" t="s">
        <v>12</v>
      </c>
      <c r="D50" s="6">
        <f t="shared" si="0"/>
        <v>0.65800000000000003</v>
      </c>
      <c r="F50" s="1" t="s">
        <v>144</v>
      </c>
      <c r="G50" s="1">
        <v>8.3000000000000007</v>
      </c>
      <c r="H50" s="1" t="s">
        <v>22</v>
      </c>
      <c r="I50" s="1">
        <v>6.6000000000000003E-2</v>
      </c>
      <c r="J50" s="17">
        <f t="shared" ref="J50:J53" si="43">I50*G50</f>
        <v>0.54780000000000006</v>
      </c>
      <c r="L50" s="1" t="s">
        <v>43</v>
      </c>
      <c r="M50" s="1"/>
      <c r="N50" s="1"/>
      <c r="O50" s="1"/>
      <c r="P50" s="20">
        <f>P49/M49</f>
        <v>0.14812828282828283</v>
      </c>
      <c r="R50" s="1" t="s">
        <v>82</v>
      </c>
      <c r="S50" s="1">
        <v>35</v>
      </c>
      <c r="T50" s="1" t="s">
        <v>129</v>
      </c>
      <c r="U50" s="55" t="s">
        <v>525</v>
      </c>
      <c r="V50" s="56"/>
      <c r="X50" s="1"/>
      <c r="Y50" s="1">
        <f>Y49/10</f>
        <v>0.5</v>
      </c>
      <c r="Z50" s="1" t="s">
        <v>129</v>
      </c>
      <c r="AA50" s="55" t="s">
        <v>704</v>
      </c>
      <c r="AB50" s="56"/>
      <c r="AP50" s="1" t="s">
        <v>496</v>
      </c>
      <c r="AQ50" s="1">
        <f>AQ46*6.25</f>
        <v>3.7797619047619047</v>
      </c>
    </row>
    <row r="51" spans="1:52" x14ac:dyDescent="0.2">
      <c r="A51" s="1" t="s">
        <v>145</v>
      </c>
      <c r="B51" s="3">
        <v>836</v>
      </c>
      <c r="C51" s="5" t="s">
        <v>12</v>
      </c>
      <c r="D51" s="6">
        <f t="shared" si="0"/>
        <v>0.83599999999999997</v>
      </c>
      <c r="F51" s="1" t="s">
        <v>146</v>
      </c>
      <c r="G51" s="1">
        <v>5</v>
      </c>
      <c r="H51" s="1" t="s">
        <v>22</v>
      </c>
      <c r="I51" s="1">
        <v>9.7000000000000003E-2</v>
      </c>
      <c r="J51" s="17">
        <f t="shared" si="43"/>
        <v>0.48499999999999999</v>
      </c>
      <c r="R51" s="1" t="s">
        <v>534</v>
      </c>
      <c r="S51" s="1">
        <v>135</v>
      </c>
      <c r="T51" s="1" t="s">
        <v>129</v>
      </c>
      <c r="U51" s="55" t="s">
        <v>559</v>
      </c>
      <c r="V51" s="56"/>
      <c r="X51" s="1" t="s">
        <v>632</v>
      </c>
      <c r="Y51" s="1">
        <v>60</v>
      </c>
      <c r="Z51" s="1" t="s">
        <v>129</v>
      </c>
      <c r="AA51" s="55" t="s">
        <v>633</v>
      </c>
      <c r="AB51" s="56"/>
      <c r="AP51" s="33" t="s">
        <v>504</v>
      </c>
      <c r="AQ51" s="21">
        <f>SUM(AQ49:AQ50)</f>
        <v>5.6599569047619047</v>
      </c>
      <c r="AV51" s="129" t="s">
        <v>282</v>
      </c>
      <c r="AW51" s="130"/>
    </row>
    <row r="52" spans="1:52" x14ac:dyDescent="0.2">
      <c r="A52" s="1" t="s">
        <v>88</v>
      </c>
      <c r="B52" s="3">
        <v>350.4</v>
      </c>
      <c r="C52" s="5" t="s">
        <v>12</v>
      </c>
      <c r="D52" s="6">
        <f t="shared" si="0"/>
        <v>0.35039999999999999</v>
      </c>
      <c r="F52" s="1" t="s">
        <v>101</v>
      </c>
      <c r="G52" s="1">
        <v>6</v>
      </c>
      <c r="H52" s="1" t="s">
        <v>22</v>
      </c>
      <c r="I52" s="1">
        <v>0.02</v>
      </c>
      <c r="J52" s="17">
        <f t="shared" si="43"/>
        <v>0.12</v>
      </c>
      <c r="L52" s="75" t="s">
        <v>123</v>
      </c>
      <c r="M52" s="76"/>
      <c r="N52" s="76"/>
      <c r="O52" s="76"/>
      <c r="P52" s="77"/>
      <c r="R52" s="1" t="s">
        <v>535</v>
      </c>
      <c r="S52" s="1">
        <v>15</v>
      </c>
      <c r="T52" s="1" t="s">
        <v>129</v>
      </c>
      <c r="U52" s="55"/>
      <c r="V52" s="56"/>
      <c r="X52" s="1"/>
      <c r="Y52" s="1">
        <f>Y51/111</f>
        <v>0.54054054054054057</v>
      </c>
      <c r="Z52" s="1" t="s">
        <v>129</v>
      </c>
      <c r="AA52" s="55" t="s">
        <v>704</v>
      </c>
      <c r="AB52" s="56"/>
      <c r="AV52" s="43" t="s">
        <v>415</v>
      </c>
      <c r="AW52" s="43">
        <f>AZ38</f>
        <v>1.8364649999999998</v>
      </c>
    </row>
    <row r="53" spans="1:52" x14ac:dyDescent="0.2">
      <c r="A53" s="1" t="s">
        <v>148</v>
      </c>
      <c r="B53" s="3">
        <v>48.8</v>
      </c>
      <c r="C53" s="5" t="s">
        <v>12</v>
      </c>
      <c r="D53" s="6">
        <f t="shared" si="0"/>
        <v>4.8799999999999996E-2</v>
      </c>
      <c r="F53" s="1" t="s">
        <v>149</v>
      </c>
      <c r="G53" s="1">
        <v>0</v>
      </c>
      <c r="H53" s="1" t="s">
        <v>22</v>
      </c>
      <c r="I53" s="1">
        <v>5.6000000000000001E-2</v>
      </c>
      <c r="J53" s="17">
        <f t="shared" si="43"/>
        <v>0</v>
      </c>
      <c r="L53" s="1" t="s">
        <v>23</v>
      </c>
      <c r="M53" s="1">
        <v>223</v>
      </c>
      <c r="N53" s="1" t="s">
        <v>22</v>
      </c>
      <c r="O53" s="1">
        <f>_xlfn.XLOOKUP(L53,$A$2:$A$112,$D$2:$D$112)</f>
        <v>0</v>
      </c>
      <c r="P53" s="17">
        <f>M53*O53</f>
        <v>0</v>
      </c>
      <c r="R53" s="1" t="s">
        <v>536</v>
      </c>
      <c r="S53" s="1">
        <v>120</v>
      </c>
      <c r="T53" s="1" t="s">
        <v>129</v>
      </c>
      <c r="U53" s="55" t="s">
        <v>566</v>
      </c>
      <c r="V53" s="56"/>
      <c r="X53" s="1" t="s">
        <v>640</v>
      </c>
      <c r="Y53" s="1">
        <v>38</v>
      </c>
      <c r="Z53" s="1" t="s">
        <v>129</v>
      </c>
      <c r="AA53" s="55" t="s">
        <v>641</v>
      </c>
      <c r="AB53" s="56"/>
      <c r="AV53" s="1" t="s">
        <v>496</v>
      </c>
      <c r="AW53" s="1">
        <f>AW49*6.25</f>
        <v>3.7797619047619047</v>
      </c>
    </row>
    <row r="54" spans="1:52" x14ac:dyDescent="0.2">
      <c r="A54" s="1" t="s">
        <v>150</v>
      </c>
      <c r="B54" s="3">
        <v>85</v>
      </c>
      <c r="C54" s="5" t="s">
        <v>12</v>
      </c>
      <c r="D54" s="6">
        <f t="shared" si="0"/>
        <v>8.5000000000000006E-2</v>
      </c>
      <c r="F54" s="1" t="s">
        <v>41</v>
      </c>
      <c r="G54" s="1"/>
      <c r="H54" s="1"/>
      <c r="I54" s="1"/>
      <c r="J54" s="21">
        <f>SUM(J49:J53)</f>
        <v>1.7358000000000002</v>
      </c>
      <c r="L54" s="1" t="s">
        <v>26</v>
      </c>
      <c r="M54" s="1">
        <v>543</v>
      </c>
      <c r="N54" s="1" t="s">
        <v>22</v>
      </c>
      <c r="O54" s="1">
        <f t="shared" ref="O54:O60" si="44">_xlfn.XLOOKUP(L54,$A$2:$A$112,$D$2:$D$112)</f>
        <v>1.315E-2</v>
      </c>
      <c r="P54" s="17">
        <f t="shared" ref="P54:P62" si="45">M54*O54</f>
        <v>7.1404500000000004</v>
      </c>
      <c r="R54" s="1" t="s">
        <v>565</v>
      </c>
      <c r="S54" s="1">
        <v>83</v>
      </c>
      <c r="T54" s="1" t="s">
        <v>129</v>
      </c>
      <c r="U54" s="55" t="s">
        <v>566</v>
      </c>
      <c r="V54" s="56"/>
      <c r="X54" s="1" t="s">
        <v>648</v>
      </c>
      <c r="Y54" s="1">
        <v>30</v>
      </c>
      <c r="Z54" s="1" t="s">
        <v>129</v>
      </c>
      <c r="AA54" s="55" t="s">
        <v>641</v>
      </c>
      <c r="AB54" s="56"/>
      <c r="AV54" s="33" t="s">
        <v>504</v>
      </c>
      <c r="AW54" s="21">
        <f>SUM(AW52:AW53)</f>
        <v>5.6162269047619047</v>
      </c>
    </row>
    <row r="55" spans="1:52" x14ac:dyDescent="0.2">
      <c r="A55" s="1" t="s">
        <v>153</v>
      </c>
      <c r="B55" s="3">
        <v>144</v>
      </c>
      <c r="C55" s="5" t="s">
        <v>12</v>
      </c>
      <c r="D55" s="6">
        <f t="shared" si="0"/>
        <v>0.14399999999999999</v>
      </c>
      <c r="L55" s="1" t="s">
        <v>29</v>
      </c>
      <c r="M55" s="1">
        <v>543</v>
      </c>
      <c r="N55" s="1" t="s">
        <v>22</v>
      </c>
      <c r="O55" s="1">
        <f t="shared" si="44"/>
        <v>8.1000000000000003E-2</v>
      </c>
      <c r="P55" s="17">
        <f t="shared" si="45"/>
        <v>43.983000000000004</v>
      </c>
      <c r="R55" s="1" t="s">
        <v>121</v>
      </c>
      <c r="S55" s="1">
        <v>60</v>
      </c>
      <c r="T55" s="1" t="s">
        <v>129</v>
      </c>
      <c r="U55" s="55" t="s">
        <v>664</v>
      </c>
      <c r="V55" s="56"/>
      <c r="X55" s="1" t="s">
        <v>649</v>
      </c>
      <c r="Y55" s="1">
        <v>10</v>
      </c>
      <c r="Z55" s="1" t="s">
        <v>129</v>
      </c>
      <c r="AA55" s="55" t="s">
        <v>641</v>
      </c>
      <c r="AB55" s="56"/>
    </row>
    <row r="56" spans="1:52" x14ac:dyDescent="0.2">
      <c r="A56" s="1" t="s">
        <v>155</v>
      </c>
      <c r="B56" s="3">
        <v>157.44</v>
      </c>
      <c r="C56" s="5" t="s">
        <v>12</v>
      </c>
      <c r="D56" s="6">
        <f t="shared" si="0"/>
        <v>0.15744</v>
      </c>
      <c r="F56" s="64" t="s">
        <v>127</v>
      </c>
      <c r="G56" s="64"/>
      <c r="H56" s="64"/>
      <c r="I56" s="64"/>
      <c r="J56" s="64"/>
      <c r="L56" s="1" t="s">
        <v>132</v>
      </c>
      <c r="M56" s="1">
        <v>363</v>
      </c>
      <c r="N56" s="1" t="s">
        <v>22</v>
      </c>
      <c r="O56" s="1">
        <f t="shared" si="44"/>
        <v>0</v>
      </c>
      <c r="P56" s="17">
        <f t="shared" si="45"/>
        <v>0</v>
      </c>
      <c r="R56" s="1" t="s">
        <v>666</v>
      </c>
      <c r="S56" s="1">
        <v>20</v>
      </c>
      <c r="T56" s="1" t="s">
        <v>129</v>
      </c>
      <c r="U56" s="55" t="s">
        <v>665</v>
      </c>
      <c r="V56" s="56"/>
      <c r="X56" s="1" t="s">
        <v>650</v>
      </c>
      <c r="Y56" s="1">
        <v>20</v>
      </c>
      <c r="Z56" s="1" t="s">
        <v>129</v>
      </c>
      <c r="AA56" s="55" t="s">
        <v>641</v>
      </c>
      <c r="AB56" s="56"/>
    </row>
    <row r="57" spans="1:52" x14ac:dyDescent="0.2">
      <c r="A57" s="1" t="s">
        <v>140</v>
      </c>
      <c r="B57" s="3">
        <v>812.8</v>
      </c>
      <c r="C57" s="5" t="s">
        <v>12</v>
      </c>
      <c r="D57" s="6">
        <f t="shared" si="0"/>
        <v>0.81279999999999997</v>
      </c>
      <c r="F57" s="1" t="s">
        <v>560</v>
      </c>
      <c r="G57" s="1">
        <v>30</v>
      </c>
      <c r="H57" s="1" t="s">
        <v>129</v>
      </c>
      <c r="I57" s="55" t="s">
        <v>580</v>
      </c>
      <c r="J57" s="56"/>
      <c r="L57" s="8" t="s">
        <v>33</v>
      </c>
      <c r="M57" s="8">
        <v>288</v>
      </c>
      <c r="N57" s="8" t="s">
        <v>22</v>
      </c>
      <c r="O57" s="1">
        <f t="shared" si="44"/>
        <v>0.13930000000000001</v>
      </c>
      <c r="P57" s="18">
        <f t="shared" si="45"/>
        <v>40.118400000000001</v>
      </c>
      <c r="R57" s="1" t="s">
        <v>41</v>
      </c>
      <c r="S57" s="1">
        <f>SUM(S49:S56)</f>
        <v>918</v>
      </c>
      <c r="T57" s="1" t="s">
        <v>129</v>
      </c>
      <c r="U57" s="55">
        <v>896</v>
      </c>
      <c r="V57" s="56"/>
      <c r="X57" s="1"/>
      <c r="Y57" s="1">
        <f>SUM(Y53:Y56)</f>
        <v>98</v>
      </c>
      <c r="Z57" s="1" t="s">
        <v>129</v>
      </c>
      <c r="AA57" s="55">
        <v>222</v>
      </c>
      <c r="AB57" s="56"/>
    </row>
    <row r="58" spans="1:52" x14ac:dyDescent="0.2">
      <c r="A58" s="1" t="s">
        <v>74</v>
      </c>
      <c r="B58" s="3">
        <v>206.63</v>
      </c>
      <c r="C58" s="5" t="s">
        <v>12</v>
      </c>
      <c r="D58" s="6">
        <f t="shared" si="0"/>
        <v>0.20663000000000001</v>
      </c>
      <c r="F58" s="1" t="s">
        <v>609</v>
      </c>
      <c r="G58" s="1">
        <v>65</v>
      </c>
      <c r="H58" s="1" t="s">
        <v>129</v>
      </c>
      <c r="I58" s="55">
        <v>380</v>
      </c>
      <c r="J58" s="56"/>
      <c r="L58" s="2" t="s">
        <v>36</v>
      </c>
      <c r="M58" s="1">
        <v>453</v>
      </c>
      <c r="N58" s="1" t="s">
        <v>22</v>
      </c>
      <c r="O58" s="1">
        <f t="shared" si="44"/>
        <v>0.32900000000000001</v>
      </c>
      <c r="P58" s="18">
        <f t="shared" si="45"/>
        <v>149.03700000000001</v>
      </c>
      <c r="R58" s="33" t="s">
        <v>240</v>
      </c>
      <c r="S58" s="35">
        <f>S57/U57</f>
        <v>1.0245535714285714</v>
      </c>
      <c r="T58" s="33" t="s">
        <v>129</v>
      </c>
      <c r="U58" s="57" t="s">
        <v>668</v>
      </c>
      <c r="V58" s="58"/>
      <c r="X58" s="1"/>
      <c r="Y58" s="1">
        <f>Y57/222</f>
        <v>0.44144144144144143</v>
      </c>
      <c r="Z58" s="1" t="s">
        <v>129</v>
      </c>
      <c r="AA58" s="55" t="s">
        <v>704</v>
      </c>
      <c r="AB58" s="56"/>
    </row>
    <row r="59" spans="1:52" x14ac:dyDescent="0.2">
      <c r="A59" s="1" t="s">
        <v>161</v>
      </c>
      <c r="B59" s="3">
        <v>50</v>
      </c>
      <c r="C59" s="5" t="s">
        <v>12</v>
      </c>
      <c r="D59" s="6">
        <f t="shared" si="0"/>
        <v>0.05</v>
      </c>
      <c r="F59" s="1" t="s">
        <v>610</v>
      </c>
      <c r="G59" s="1">
        <v>90</v>
      </c>
      <c r="H59" s="1" t="s">
        <v>129</v>
      </c>
      <c r="I59" s="55">
        <v>315</v>
      </c>
      <c r="J59" s="56"/>
      <c r="L59" s="1" t="s">
        <v>38</v>
      </c>
      <c r="M59" s="1">
        <v>21</v>
      </c>
      <c r="N59" s="1" t="s">
        <v>22</v>
      </c>
      <c r="O59" s="1">
        <f t="shared" si="44"/>
        <v>0.38500000000000001</v>
      </c>
      <c r="P59" s="18">
        <f t="shared" si="45"/>
        <v>8.0850000000000009</v>
      </c>
      <c r="X59" s="33"/>
      <c r="Y59" s="35"/>
      <c r="Z59" s="33"/>
      <c r="AA59" s="57"/>
      <c r="AB59" s="58"/>
    </row>
    <row r="60" spans="1:52" x14ac:dyDescent="0.2">
      <c r="A60" s="1" t="s">
        <v>163</v>
      </c>
      <c r="B60" s="3">
        <v>75</v>
      </c>
      <c r="C60" s="5" t="s">
        <v>12</v>
      </c>
      <c r="D60" s="6">
        <f t="shared" si="0"/>
        <v>7.4999999999999997E-2</v>
      </c>
      <c r="F60" s="1" t="s">
        <v>522</v>
      </c>
      <c r="G60" s="1">
        <v>65</v>
      </c>
      <c r="H60" s="1" t="s">
        <v>129</v>
      </c>
      <c r="I60" s="55" t="s">
        <v>580</v>
      </c>
      <c r="J60" s="56"/>
      <c r="L60" s="1" t="s">
        <v>76</v>
      </c>
      <c r="M60" s="1">
        <v>608</v>
      </c>
      <c r="N60" s="1" t="s">
        <v>22</v>
      </c>
      <c r="O60" s="1">
        <f t="shared" si="44"/>
        <v>8.1030000000000005E-2</v>
      </c>
      <c r="P60" s="18">
        <f t="shared" si="45"/>
        <v>49.266240000000003</v>
      </c>
      <c r="R60" s="79" t="s">
        <v>670</v>
      </c>
      <c r="S60" s="81"/>
    </row>
    <row r="61" spans="1:52" x14ac:dyDescent="0.2">
      <c r="A61" s="1" t="s">
        <v>164</v>
      </c>
      <c r="B61" s="3">
        <v>173.2</v>
      </c>
      <c r="C61" s="5" t="s">
        <v>12</v>
      </c>
      <c r="D61" s="6">
        <f t="shared" si="0"/>
        <v>0.17319999999999999</v>
      </c>
      <c r="F61" s="1" t="s">
        <v>613</v>
      </c>
      <c r="G61" s="1">
        <v>520</v>
      </c>
      <c r="H61" s="1" t="s">
        <v>129</v>
      </c>
      <c r="I61" s="55" t="s">
        <v>580</v>
      </c>
      <c r="J61" s="56"/>
      <c r="L61" s="1" t="s">
        <v>41</v>
      </c>
      <c r="M61" s="1">
        <f>SUM(M53:M60)</f>
        <v>3042</v>
      </c>
      <c r="N61" s="1" t="s">
        <v>22</v>
      </c>
      <c r="O61" s="1"/>
      <c r="P61" s="17">
        <f>SUM(P53:P60)</f>
        <v>297.63009</v>
      </c>
      <c r="R61" s="43" t="s">
        <v>415</v>
      </c>
      <c r="S61" s="43">
        <f>V46</f>
        <v>3.9417999999999997</v>
      </c>
      <c r="X61" s="98" t="s">
        <v>703</v>
      </c>
      <c r="Y61" s="99"/>
    </row>
    <row r="62" spans="1:52" x14ac:dyDescent="0.2">
      <c r="A62" s="1" t="s">
        <v>137</v>
      </c>
      <c r="B62" s="3">
        <v>611</v>
      </c>
      <c r="C62" s="5" t="s">
        <v>12</v>
      </c>
      <c r="D62" s="6">
        <f t="shared" si="0"/>
        <v>0.61099999999999999</v>
      </c>
      <c r="F62" s="1" t="s">
        <v>638</v>
      </c>
      <c r="G62" s="1">
        <v>55</v>
      </c>
      <c r="H62" s="1" t="s">
        <v>129</v>
      </c>
      <c r="I62" s="55" t="s">
        <v>616</v>
      </c>
      <c r="J62" s="56"/>
      <c r="L62" s="1" t="s">
        <v>43</v>
      </c>
      <c r="M62" s="1"/>
      <c r="N62" s="1" t="s">
        <v>22</v>
      </c>
      <c r="O62" s="1"/>
      <c r="P62" s="1">
        <f>P61/M61</f>
        <v>9.784026627218935E-2</v>
      </c>
      <c r="R62" s="1" t="s">
        <v>496</v>
      </c>
      <c r="S62" s="1">
        <f>S58*I68</f>
        <v>6.4034598214285712</v>
      </c>
      <c r="X62" s="43" t="s">
        <v>415</v>
      </c>
      <c r="Y62" s="43">
        <f>AB45</f>
        <v>0.6885</v>
      </c>
    </row>
    <row r="63" spans="1:52" x14ac:dyDescent="0.2">
      <c r="A63" s="1" t="s">
        <v>63</v>
      </c>
      <c r="B63" s="3">
        <v>454</v>
      </c>
      <c r="C63" s="5" t="s">
        <v>12</v>
      </c>
      <c r="D63" s="6">
        <f t="shared" si="0"/>
        <v>0.45400000000000001</v>
      </c>
      <c r="F63" s="1" t="s">
        <v>651</v>
      </c>
      <c r="G63" s="1">
        <v>20</v>
      </c>
      <c r="H63" s="1" t="s">
        <v>129</v>
      </c>
      <c r="I63" s="55" t="s">
        <v>616</v>
      </c>
      <c r="J63" s="56"/>
      <c r="R63" s="33" t="s">
        <v>680</v>
      </c>
      <c r="S63" s="21">
        <f>SUM(S61:S62)</f>
        <v>10.34525982142857</v>
      </c>
      <c r="X63" s="1" t="s">
        <v>496</v>
      </c>
      <c r="Y63" s="1">
        <f>Y50*I68</f>
        <v>3.125</v>
      </c>
    </row>
    <row r="64" spans="1:52" x14ac:dyDescent="0.2">
      <c r="A64" s="1" t="s">
        <v>165</v>
      </c>
      <c r="B64" s="3">
        <v>224.8</v>
      </c>
      <c r="C64" s="5" t="s">
        <v>12</v>
      </c>
      <c r="D64" s="6">
        <f t="shared" si="0"/>
        <v>0.2248</v>
      </c>
      <c r="F64" s="1" t="s">
        <v>652</v>
      </c>
      <c r="G64" s="1">
        <v>60</v>
      </c>
      <c r="H64" s="1" t="s">
        <v>129</v>
      </c>
      <c r="I64" s="55">
        <v>315</v>
      </c>
      <c r="J64" s="56"/>
      <c r="L64" s="62" t="s">
        <v>167</v>
      </c>
      <c r="M64" s="62"/>
      <c r="N64" s="62"/>
      <c r="O64" s="62"/>
      <c r="P64" s="62"/>
      <c r="X64" s="33" t="s">
        <v>680</v>
      </c>
      <c r="Y64" s="21">
        <f>SUM(Y62:Y63)</f>
        <v>3.8134999999999999</v>
      </c>
    </row>
    <row r="65" spans="1:25" x14ac:dyDescent="0.2">
      <c r="A65" s="1" t="s">
        <v>168</v>
      </c>
      <c r="B65" s="3">
        <v>141.4</v>
      </c>
      <c r="C65" s="5" t="s">
        <v>12</v>
      </c>
      <c r="D65" s="6">
        <f t="shared" si="0"/>
        <v>0.1414</v>
      </c>
      <c r="F65" s="1" t="s">
        <v>41</v>
      </c>
      <c r="G65" s="1">
        <f>SUM(G57:G64)</f>
        <v>905</v>
      </c>
      <c r="H65" s="1" t="s">
        <v>129</v>
      </c>
      <c r="I65" s="55">
        <v>315</v>
      </c>
      <c r="J65" s="56"/>
      <c r="L65" s="2" t="s">
        <v>36</v>
      </c>
      <c r="M65" s="1">
        <v>2000</v>
      </c>
      <c r="N65" s="1" t="s">
        <v>22</v>
      </c>
      <c r="O65" s="1">
        <f>_xlfn.XLOOKUP(L65,$A$2:$A$112,$D$2:$D$112)</f>
        <v>0.32900000000000001</v>
      </c>
      <c r="P65" s="17">
        <f>O65*M65</f>
        <v>658</v>
      </c>
    </row>
    <row r="66" spans="1:25" x14ac:dyDescent="0.2">
      <c r="A66" s="1" t="s">
        <v>169</v>
      </c>
      <c r="B66" s="3">
        <v>164</v>
      </c>
      <c r="C66" s="5" t="s">
        <v>12</v>
      </c>
      <c r="D66" s="6">
        <f t="shared" si="0"/>
        <v>0.16400000000000001</v>
      </c>
      <c r="F66" s="33" t="s">
        <v>240</v>
      </c>
      <c r="G66" s="35">
        <f>G65/I65</f>
        <v>2.873015873015873</v>
      </c>
      <c r="H66" s="33" t="s">
        <v>129</v>
      </c>
      <c r="I66" s="57" t="s">
        <v>695</v>
      </c>
      <c r="J66" s="58"/>
      <c r="L66" s="1" t="s">
        <v>41</v>
      </c>
      <c r="M66" s="1">
        <f>SUM(M65:M65)</f>
        <v>2000</v>
      </c>
      <c r="N66" s="1" t="s">
        <v>22</v>
      </c>
      <c r="O66" s="1"/>
      <c r="P66" s="17">
        <f>SUM(P65:P65)</f>
        <v>658</v>
      </c>
      <c r="X66" s="103" t="s">
        <v>341</v>
      </c>
      <c r="Y66" s="104"/>
    </row>
    <row r="67" spans="1:25" x14ac:dyDescent="0.2">
      <c r="A67" s="1" t="s">
        <v>171</v>
      </c>
      <c r="B67" s="3">
        <v>166.24</v>
      </c>
      <c r="C67" s="5" t="s">
        <v>12</v>
      </c>
      <c r="D67" s="6">
        <f t="shared" ref="D67:D107" si="46">B67/1000</f>
        <v>0.16624</v>
      </c>
      <c r="J67" s="19"/>
      <c r="L67" s="1" t="s">
        <v>43</v>
      </c>
      <c r="M67" s="1"/>
      <c r="N67" s="1"/>
      <c r="O67" s="1"/>
      <c r="P67" s="20">
        <f>P66/M66</f>
        <v>0.32900000000000001</v>
      </c>
      <c r="X67" s="43" t="s">
        <v>415</v>
      </c>
      <c r="Y67" s="43">
        <f>AB33</f>
        <v>4.4550000000000001</v>
      </c>
    </row>
    <row r="68" spans="1:25" x14ac:dyDescent="0.2">
      <c r="A68" s="1" t="s">
        <v>173</v>
      </c>
      <c r="B68" s="3">
        <v>168</v>
      </c>
      <c r="C68" s="5" t="s">
        <v>12</v>
      </c>
      <c r="D68" s="6">
        <f t="shared" si="46"/>
        <v>0.16800000000000001</v>
      </c>
      <c r="F68" s="1" t="s">
        <v>503</v>
      </c>
      <c r="G68" s="1">
        <v>375</v>
      </c>
      <c r="H68" s="1" t="s">
        <v>494</v>
      </c>
      <c r="I68" s="1">
        <f>G68/60</f>
        <v>6.25</v>
      </c>
      <c r="J68" s="1" t="s">
        <v>129</v>
      </c>
      <c r="X68" s="1" t="s">
        <v>496</v>
      </c>
      <c r="Y68" s="1">
        <f>Y52*I68</f>
        <v>3.3783783783783785</v>
      </c>
    </row>
    <row r="69" spans="1:25" x14ac:dyDescent="0.2">
      <c r="A69" s="1" t="s">
        <v>174</v>
      </c>
      <c r="B69" s="3">
        <v>882</v>
      </c>
      <c r="C69" s="5" t="s">
        <v>12</v>
      </c>
      <c r="D69" s="6">
        <f t="shared" si="46"/>
        <v>0.88200000000000001</v>
      </c>
      <c r="J69" s="19"/>
      <c r="L69" s="75" t="s">
        <v>187</v>
      </c>
      <c r="M69" s="76"/>
      <c r="N69" s="76"/>
      <c r="O69" s="76"/>
      <c r="P69" s="77"/>
      <c r="X69" s="33" t="s">
        <v>680</v>
      </c>
      <c r="Y69" s="21">
        <f>SUM(Y67:Y68)</f>
        <v>7.833378378378379</v>
      </c>
    </row>
    <row r="70" spans="1:25" x14ac:dyDescent="0.2">
      <c r="A70" s="1" t="s">
        <v>176</v>
      </c>
      <c r="B70" s="3">
        <v>828</v>
      </c>
      <c r="C70" s="5" t="s">
        <v>12</v>
      </c>
      <c r="D70" s="6">
        <f t="shared" si="46"/>
        <v>0.82799999999999996</v>
      </c>
      <c r="F70" s="98" t="s">
        <v>819</v>
      </c>
      <c r="G70" s="99"/>
      <c r="J70" s="19"/>
      <c r="L70" s="1" t="s">
        <v>178</v>
      </c>
      <c r="M70" s="1">
        <v>11.9</v>
      </c>
      <c r="N70" s="1" t="s">
        <v>22</v>
      </c>
      <c r="O70" s="20">
        <v>6.2199999999999998E-2</v>
      </c>
      <c r="P70" s="17">
        <f>O70*M70</f>
        <v>0.74017999999999995</v>
      </c>
    </row>
    <row r="71" spans="1:25" x14ac:dyDescent="0.2">
      <c r="A71" s="1" t="s">
        <v>179</v>
      </c>
      <c r="B71" s="3">
        <v>128</v>
      </c>
      <c r="C71" s="5" t="s">
        <v>12</v>
      </c>
      <c r="D71" s="6">
        <f t="shared" si="46"/>
        <v>0.128</v>
      </c>
      <c r="F71" s="43" t="s">
        <v>415</v>
      </c>
      <c r="G71" s="43">
        <f>J54</f>
        <v>1.7358000000000002</v>
      </c>
      <c r="J71" s="19"/>
      <c r="L71" s="1" t="s">
        <v>180</v>
      </c>
      <c r="M71" s="1">
        <v>24</v>
      </c>
      <c r="N71" s="1" t="s">
        <v>22</v>
      </c>
      <c r="O71" s="1">
        <v>0.14863000000000001</v>
      </c>
      <c r="P71" s="17">
        <f t="shared" ref="P71:P75" si="47">O71*M71</f>
        <v>3.5671200000000001</v>
      </c>
      <c r="X71" s="89" t="s">
        <v>331</v>
      </c>
      <c r="Y71" s="91"/>
    </row>
    <row r="72" spans="1:25" x14ac:dyDescent="0.2">
      <c r="A72" s="1" t="s">
        <v>181</v>
      </c>
      <c r="B72" s="4">
        <v>205.33</v>
      </c>
      <c r="C72" s="5" t="s">
        <v>12</v>
      </c>
      <c r="D72" s="6">
        <f t="shared" si="46"/>
        <v>0.20533000000000001</v>
      </c>
      <c r="F72" s="1" t="s">
        <v>496</v>
      </c>
      <c r="G72" s="1">
        <f>G66*I68</f>
        <v>17.956349206349206</v>
      </c>
      <c r="J72" s="19"/>
      <c r="L72" s="1" t="s">
        <v>182</v>
      </c>
      <c r="M72" s="1">
        <v>0</v>
      </c>
      <c r="N72" s="1" t="s">
        <v>22</v>
      </c>
      <c r="O72" s="1">
        <v>2.588E-2</v>
      </c>
      <c r="P72" s="17">
        <f t="shared" si="47"/>
        <v>0</v>
      </c>
      <c r="X72" s="43" t="s">
        <v>415</v>
      </c>
      <c r="Y72" s="43">
        <f>AB17</f>
        <v>2.0331999999999999</v>
      </c>
    </row>
    <row r="73" spans="1:25" x14ac:dyDescent="0.2">
      <c r="A73" s="1" t="s">
        <v>62</v>
      </c>
      <c r="B73" s="3">
        <v>114.66</v>
      </c>
      <c r="C73" s="5" t="s">
        <v>12</v>
      </c>
      <c r="D73" s="6">
        <f t="shared" si="46"/>
        <v>0.11466</v>
      </c>
      <c r="F73" s="33" t="s">
        <v>680</v>
      </c>
      <c r="G73" s="21">
        <f>SUM(G71:G72)</f>
        <v>19.692149206349207</v>
      </c>
      <c r="J73" s="19"/>
      <c r="L73" s="1" t="s">
        <v>15</v>
      </c>
      <c r="M73" s="1">
        <v>2</v>
      </c>
      <c r="N73" s="1" t="s">
        <v>22</v>
      </c>
      <c r="O73" s="1">
        <v>3.7819999999999999E-2</v>
      </c>
      <c r="P73" s="17">
        <f t="shared" si="47"/>
        <v>7.5639999999999999E-2</v>
      </c>
      <c r="X73" s="1" t="s">
        <v>496</v>
      </c>
      <c r="Y73" s="1">
        <f>Y58*I68</f>
        <v>2.7590090090090089</v>
      </c>
    </row>
    <row r="74" spans="1:25" x14ac:dyDescent="0.2">
      <c r="A74" s="1" t="s">
        <v>86</v>
      </c>
      <c r="B74" s="3">
        <v>126</v>
      </c>
      <c r="C74" s="5" t="s">
        <v>12</v>
      </c>
      <c r="D74" s="6">
        <f t="shared" si="46"/>
        <v>0.126</v>
      </c>
      <c r="L74" s="1" t="s">
        <v>177</v>
      </c>
      <c r="M74" s="1">
        <v>2.5</v>
      </c>
      <c r="N74" s="1" t="s">
        <v>22</v>
      </c>
      <c r="O74" s="1">
        <v>0.14799999999999999</v>
      </c>
      <c r="P74" s="17">
        <f t="shared" si="47"/>
        <v>0.37</v>
      </c>
      <c r="X74" s="33" t="s">
        <v>680</v>
      </c>
      <c r="Y74" s="21">
        <f>SUM(Y72:Y73)</f>
        <v>4.7922090090090084</v>
      </c>
    </row>
    <row r="75" spans="1:25" x14ac:dyDescent="0.2">
      <c r="A75" s="1" t="s">
        <v>183</v>
      </c>
      <c r="B75" s="3">
        <v>167</v>
      </c>
      <c r="C75" s="5" t="s">
        <v>12</v>
      </c>
      <c r="D75" s="6">
        <f t="shared" si="46"/>
        <v>0.16700000000000001</v>
      </c>
      <c r="L75" s="1" t="s">
        <v>103</v>
      </c>
      <c r="M75" s="1">
        <v>0.5</v>
      </c>
      <c r="N75" s="1" t="s">
        <v>22</v>
      </c>
      <c r="O75" s="1">
        <v>9.7799999999999998E-2</v>
      </c>
      <c r="P75" s="17">
        <f t="shared" si="47"/>
        <v>4.8899999999999999E-2</v>
      </c>
    </row>
    <row r="76" spans="1:25" x14ac:dyDescent="0.2">
      <c r="A76" s="1" t="s">
        <v>184</v>
      </c>
      <c r="B76" s="3">
        <v>133.6</v>
      </c>
      <c r="C76" s="5" t="s">
        <v>12</v>
      </c>
      <c r="D76" s="6">
        <f t="shared" si="46"/>
        <v>0.1336</v>
      </c>
      <c r="L76" s="1" t="s">
        <v>41</v>
      </c>
      <c r="M76" s="1"/>
      <c r="N76" s="1"/>
      <c r="O76" s="1"/>
      <c r="P76" s="21">
        <f>SUM(P70:P75)</f>
        <v>4.8018399999999994</v>
      </c>
    </row>
    <row r="77" spans="1:25" x14ac:dyDescent="0.2">
      <c r="A77" s="1" t="s">
        <v>186</v>
      </c>
      <c r="B77" s="3">
        <v>113.6</v>
      </c>
      <c r="C77" s="5" t="s">
        <v>12</v>
      </c>
      <c r="D77" s="6">
        <f t="shared" si="46"/>
        <v>0.11359999999999999</v>
      </c>
    </row>
    <row r="78" spans="1:25" x14ac:dyDescent="0.2">
      <c r="A78" s="1" t="s">
        <v>51</v>
      </c>
      <c r="B78" s="4">
        <v>91</v>
      </c>
      <c r="C78" s="5" t="s">
        <v>12</v>
      </c>
      <c r="D78" s="6">
        <f t="shared" si="46"/>
        <v>9.0999999999999998E-2</v>
      </c>
      <c r="L78" s="62" t="s">
        <v>127</v>
      </c>
      <c r="M78" s="62"/>
      <c r="N78" s="62"/>
      <c r="O78" s="62"/>
      <c r="P78" s="62"/>
    </row>
    <row r="79" spans="1:25" x14ac:dyDescent="0.2">
      <c r="A79" s="1" t="s">
        <v>56</v>
      </c>
      <c r="B79" s="4">
        <v>105.6</v>
      </c>
      <c r="C79" s="5" t="s">
        <v>12</v>
      </c>
      <c r="D79" s="6">
        <f t="shared" si="46"/>
        <v>0.1056</v>
      </c>
      <c r="L79" s="1" t="s">
        <v>523</v>
      </c>
      <c r="M79" s="1">
        <v>25</v>
      </c>
      <c r="N79" s="1" t="s">
        <v>129</v>
      </c>
      <c r="O79" s="55" t="s">
        <v>524</v>
      </c>
      <c r="P79" s="56"/>
    </row>
    <row r="80" spans="1:25" x14ac:dyDescent="0.2">
      <c r="A80" s="1" t="s">
        <v>188</v>
      </c>
      <c r="B80" s="4">
        <v>133</v>
      </c>
      <c r="C80" s="5" t="s">
        <v>12</v>
      </c>
      <c r="D80" s="6">
        <f t="shared" si="46"/>
        <v>0.13300000000000001</v>
      </c>
      <c r="L80" s="1" t="s">
        <v>548</v>
      </c>
      <c r="M80" s="1">
        <v>100</v>
      </c>
      <c r="N80" s="1" t="s">
        <v>129</v>
      </c>
      <c r="O80" s="55" t="s">
        <v>549</v>
      </c>
      <c r="P80" s="56"/>
    </row>
    <row r="81" spans="1:16" x14ac:dyDescent="0.2">
      <c r="A81" s="1" t="s">
        <v>189</v>
      </c>
      <c r="B81" s="4">
        <v>147.6</v>
      </c>
      <c r="C81" s="5" t="s">
        <v>12</v>
      </c>
      <c r="D81" s="6">
        <f t="shared" si="46"/>
        <v>0.14759999999999998</v>
      </c>
      <c r="L81" s="1" t="s">
        <v>622</v>
      </c>
      <c r="M81" s="1">
        <v>40</v>
      </c>
      <c r="N81" s="1" t="s">
        <v>129</v>
      </c>
      <c r="O81" s="55" t="s">
        <v>623</v>
      </c>
      <c r="P81" s="56"/>
    </row>
    <row r="82" spans="1:16" x14ac:dyDescent="0.2">
      <c r="A82" s="1" t="s">
        <v>190</v>
      </c>
      <c r="B82" s="4">
        <v>90</v>
      </c>
      <c r="C82" s="5" t="s">
        <v>12</v>
      </c>
      <c r="D82" s="6">
        <f t="shared" si="46"/>
        <v>0.09</v>
      </c>
      <c r="L82" s="1" t="s">
        <v>624</v>
      </c>
      <c r="M82" s="1">
        <v>10</v>
      </c>
      <c r="N82" s="1" t="s">
        <v>129</v>
      </c>
      <c r="O82" s="55" t="s">
        <v>623</v>
      </c>
      <c r="P82" s="56"/>
    </row>
    <row r="83" spans="1:16" x14ac:dyDescent="0.2">
      <c r="A83" s="1" t="s">
        <v>191</v>
      </c>
      <c r="B83" s="4">
        <v>96</v>
      </c>
      <c r="C83" s="5" t="s">
        <v>12</v>
      </c>
      <c r="D83" s="6">
        <f t="shared" si="46"/>
        <v>9.6000000000000002E-2</v>
      </c>
      <c r="L83" s="1" t="s">
        <v>642</v>
      </c>
      <c r="M83" s="1">
        <v>105</v>
      </c>
      <c r="N83" s="1" t="s">
        <v>129</v>
      </c>
      <c r="O83" s="55" t="s">
        <v>643</v>
      </c>
      <c r="P83" s="56"/>
    </row>
    <row r="84" spans="1:16" x14ac:dyDescent="0.2">
      <c r="A84" s="1" t="s">
        <v>192</v>
      </c>
      <c r="B84" s="3">
        <v>126.4</v>
      </c>
      <c r="C84" s="5" t="s">
        <v>12</v>
      </c>
      <c r="D84" s="6">
        <f t="shared" si="46"/>
        <v>0.12640000000000001</v>
      </c>
      <c r="L84" s="1" t="s">
        <v>644</v>
      </c>
      <c r="M84" s="1">
        <v>45</v>
      </c>
      <c r="N84" s="1" t="s">
        <v>129</v>
      </c>
      <c r="O84" s="55" t="s">
        <v>643</v>
      </c>
      <c r="P84" s="56"/>
    </row>
    <row r="85" spans="1:16" x14ac:dyDescent="0.2">
      <c r="A85" s="1" t="s">
        <v>193</v>
      </c>
      <c r="B85" s="3">
        <v>119</v>
      </c>
      <c r="C85" s="5" t="s">
        <v>12</v>
      </c>
      <c r="D85" s="6">
        <f t="shared" si="46"/>
        <v>0.11899999999999999</v>
      </c>
      <c r="L85" s="1" t="s">
        <v>658</v>
      </c>
      <c r="M85" s="1">
        <v>20</v>
      </c>
      <c r="N85" s="1" t="s">
        <v>129</v>
      </c>
      <c r="O85" s="55" t="s">
        <v>662</v>
      </c>
      <c r="P85" s="56"/>
    </row>
    <row r="86" spans="1:16" x14ac:dyDescent="0.2">
      <c r="A86" s="1" t="s">
        <v>194</v>
      </c>
      <c r="B86" s="3">
        <v>88</v>
      </c>
      <c r="C86" s="5" t="s">
        <v>12</v>
      </c>
      <c r="D86" s="6">
        <f t="shared" si="46"/>
        <v>8.7999999999999995E-2</v>
      </c>
      <c r="L86" s="1" t="s">
        <v>180</v>
      </c>
      <c r="M86" s="1">
        <v>50</v>
      </c>
      <c r="N86" s="1" t="s">
        <v>129</v>
      </c>
      <c r="O86" s="55" t="s">
        <v>643</v>
      </c>
      <c r="P86" s="56"/>
    </row>
    <row r="87" spans="1:16" x14ac:dyDescent="0.2">
      <c r="A87" s="1" t="s">
        <v>195</v>
      </c>
      <c r="B87" s="3">
        <v>73</v>
      </c>
      <c r="C87" s="5" t="s">
        <v>12</v>
      </c>
      <c r="D87" s="6">
        <f t="shared" si="46"/>
        <v>7.2999999999999995E-2</v>
      </c>
      <c r="L87" s="1" t="s">
        <v>41</v>
      </c>
      <c r="M87" s="1">
        <f>SUM(M79:M86)</f>
        <v>395</v>
      </c>
      <c r="N87" s="1" t="s">
        <v>129</v>
      </c>
      <c r="O87" s="55">
        <v>350</v>
      </c>
      <c r="P87" s="56"/>
    </row>
    <row r="88" spans="1:16" x14ac:dyDescent="0.2">
      <c r="A88" s="1" t="s">
        <v>92</v>
      </c>
      <c r="B88" s="3">
        <v>138</v>
      </c>
      <c r="C88" s="5" t="s">
        <v>12</v>
      </c>
      <c r="D88" s="6">
        <f t="shared" si="46"/>
        <v>0.13800000000000001</v>
      </c>
      <c r="L88" s="33" t="s">
        <v>240</v>
      </c>
      <c r="M88" s="35">
        <f>M87/O87</f>
        <v>1.1285714285714286</v>
      </c>
      <c r="N88" s="33"/>
      <c r="O88" s="57" t="s">
        <v>695</v>
      </c>
      <c r="P88" s="58"/>
    </row>
    <row r="89" spans="1:16" x14ac:dyDescent="0.2">
      <c r="A89" s="1" t="s">
        <v>196</v>
      </c>
      <c r="B89" s="3">
        <v>77</v>
      </c>
      <c r="C89" s="5" t="s">
        <v>12</v>
      </c>
      <c r="D89" s="6">
        <f t="shared" si="46"/>
        <v>7.6999999999999999E-2</v>
      </c>
    </row>
    <row r="90" spans="1:16" x14ac:dyDescent="0.2">
      <c r="A90" s="1" t="s">
        <v>197</v>
      </c>
      <c r="B90" s="3">
        <v>109.2</v>
      </c>
      <c r="C90" s="5" t="s">
        <v>12</v>
      </c>
      <c r="D90" s="6">
        <f t="shared" si="46"/>
        <v>0.10920000000000001</v>
      </c>
      <c r="L90" s="103" t="s">
        <v>705</v>
      </c>
      <c r="M90" s="104"/>
    </row>
    <row r="91" spans="1:16" x14ac:dyDescent="0.2">
      <c r="A91" s="1" t="s">
        <v>198</v>
      </c>
      <c r="B91" s="3">
        <v>95</v>
      </c>
      <c r="C91" s="5" t="s">
        <v>12</v>
      </c>
      <c r="D91" s="6">
        <f t="shared" si="46"/>
        <v>9.5000000000000001E-2</v>
      </c>
      <c r="L91" s="43" t="s">
        <v>415</v>
      </c>
      <c r="M91" s="43">
        <f>P76</f>
        <v>4.8018399999999994</v>
      </c>
    </row>
    <row r="92" spans="1:16" x14ac:dyDescent="0.2">
      <c r="A92" s="1" t="s">
        <v>84</v>
      </c>
      <c r="B92" s="3">
        <v>173</v>
      </c>
      <c r="C92" s="5" t="s">
        <v>12</v>
      </c>
      <c r="D92" s="6">
        <f t="shared" si="46"/>
        <v>0.17299999999999999</v>
      </c>
      <c r="L92" s="1" t="s">
        <v>496</v>
      </c>
      <c r="M92" s="1">
        <f>M88*I68</f>
        <v>7.0535714285714288</v>
      </c>
    </row>
    <row r="93" spans="1:16" x14ac:dyDescent="0.2">
      <c r="A93" s="1" t="s">
        <v>199</v>
      </c>
      <c r="B93" s="3">
        <v>198</v>
      </c>
      <c r="C93" s="5" t="s">
        <v>12</v>
      </c>
      <c r="D93" s="6">
        <f t="shared" si="46"/>
        <v>0.19800000000000001</v>
      </c>
      <c r="L93" s="33" t="s">
        <v>680</v>
      </c>
      <c r="M93" s="21">
        <f>SUM(M91:M92)</f>
        <v>11.855411428571429</v>
      </c>
    </row>
    <row r="94" spans="1:16" x14ac:dyDescent="0.2">
      <c r="A94" s="13" t="s">
        <v>87</v>
      </c>
      <c r="B94" s="3">
        <v>249</v>
      </c>
      <c r="C94" s="5" t="s">
        <v>12</v>
      </c>
      <c r="D94" s="6">
        <f t="shared" si="46"/>
        <v>0.249</v>
      </c>
    </row>
    <row r="95" spans="1:16" x14ac:dyDescent="0.2">
      <c r="A95" s="1" t="s">
        <v>59</v>
      </c>
      <c r="B95" s="3">
        <v>43.17</v>
      </c>
      <c r="C95" s="5" t="s">
        <v>12</v>
      </c>
      <c r="D95" s="6">
        <f t="shared" si="46"/>
        <v>4.317E-2</v>
      </c>
    </row>
    <row r="96" spans="1:16" x14ac:dyDescent="0.2">
      <c r="A96" s="1" t="s">
        <v>25</v>
      </c>
      <c r="B96" s="3">
        <v>18.84</v>
      </c>
      <c r="C96" s="5" t="s">
        <v>12</v>
      </c>
      <c r="D96" s="6">
        <f t="shared" si="46"/>
        <v>1.8839999999999999E-2</v>
      </c>
    </row>
    <row r="97" spans="1:4" x14ac:dyDescent="0.2">
      <c r="A97" s="1" t="s">
        <v>39</v>
      </c>
      <c r="B97" s="3">
        <v>56.15</v>
      </c>
      <c r="C97" s="5" t="s">
        <v>12</v>
      </c>
      <c r="D97" s="6">
        <f t="shared" si="46"/>
        <v>5.6149999999999999E-2</v>
      </c>
    </row>
    <row r="98" spans="1:4" x14ac:dyDescent="0.2">
      <c r="A98" s="1" t="s">
        <v>24</v>
      </c>
      <c r="B98" s="3">
        <v>76.06</v>
      </c>
      <c r="C98" s="5" t="s">
        <v>12</v>
      </c>
      <c r="D98" s="6">
        <f t="shared" si="46"/>
        <v>7.6060000000000003E-2</v>
      </c>
    </row>
    <row r="99" spans="1:4" x14ac:dyDescent="0.2">
      <c r="A99" s="1" t="s">
        <v>200</v>
      </c>
      <c r="B99" s="3">
        <v>43.5</v>
      </c>
      <c r="C99" s="5" t="s">
        <v>12</v>
      </c>
      <c r="D99" s="6">
        <f t="shared" si="46"/>
        <v>4.3499999999999997E-2</v>
      </c>
    </row>
    <row r="100" spans="1:4" x14ac:dyDescent="0.2">
      <c r="A100" s="1" t="s">
        <v>201</v>
      </c>
      <c r="B100" s="3">
        <v>123.7</v>
      </c>
      <c r="C100" s="5" t="s">
        <v>12</v>
      </c>
      <c r="D100" s="6">
        <f t="shared" si="46"/>
        <v>0.1237</v>
      </c>
    </row>
    <row r="101" spans="1:4" x14ac:dyDescent="0.2">
      <c r="A101" s="1" t="s">
        <v>28</v>
      </c>
      <c r="B101" s="3">
        <v>71</v>
      </c>
      <c r="C101" s="5" t="s">
        <v>12</v>
      </c>
      <c r="D101" s="6">
        <f t="shared" si="46"/>
        <v>7.0999999999999994E-2</v>
      </c>
    </row>
    <row r="102" spans="1:4" x14ac:dyDescent="0.2">
      <c r="A102" s="8" t="s">
        <v>68</v>
      </c>
      <c r="B102" s="14">
        <v>45</v>
      </c>
      <c r="C102" s="15" t="s">
        <v>12</v>
      </c>
      <c r="D102" s="16">
        <f t="shared" si="46"/>
        <v>4.4999999999999998E-2</v>
      </c>
    </row>
    <row r="103" spans="1:4" x14ac:dyDescent="0.2">
      <c r="A103" s="8" t="s">
        <v>34</v>
      </c>
      <c r="B103" s="14">
        <v>188</v>
      </c>
      <c r="C103" s="8" t="s">
        <v>12</v>
      </c>
      <c r="D103" s="14">
        <f t="shared" si="46"/>
        <v>0.188</v>
      </c>
    </row>
    <row r="104" spans="1:4" x14ac:dyDescent="0.2">
      <c r="A104" s="8" t="s">
        <v>202</v>
      </c>
      <c r="B104" s="8">
        <v>139.30000000000001</v>
      </c>
      <c r="C104" s="8" t="s">
        <v>12</v>
      </c>
      <c r="D104" s="14">
        <f t="shared" si="46"/>
        <v>0.13930000000000001</v>
      </c>
    </row>
    <row r="105" spans="1:4" x14ac:dyDescent="0.2">
      <c r="A105" s="8" t="s">
        <v>23</v>
      </c>
      <c r="B105" s="8">
        <v>0</v>
      </c>
      <c r="C105" s="8" t="s">
        <v>12</v>
      </c>
      <c r="D105" s="8">
        <f>B105/1000</f>
        <v>0</v>
      </c>
    </row>
    <row r="106" spans="1:4" x14ac:dyDescent="0.2">
      <c r="A106" s="1" t="s">
        <v>87</v>
      </c>
      <c r="B106" s="1">
        <v>249</v>
      </c>
      <c r="C106" s="1" t="s">
        <v>12</v>
      </c>
      <c r="D106" s="1">
        <f>B106/1000</f>
        <v>0.249</v>
      </c>
    </row>
    <row r="107" spans="1:4" x14ac:dyDescent="0.2">
      <c r="A107" s="1" t="s">
        <v>132</v>
      </c>
      <c r="B107" s="1"/>
      <c r="C107" s="1"/>
      <c r="D107" s="1">
        <f t="shared" ref="D107:D111" si="48">B107/1000</f>
        <v>0</v>
      </c>
    </row>
    <row r="108" spans="1:4" x14ac:dyDescent="0.2">
      <c r="A108" s="1" t="s">
        <v>53</v>
      </c>
      <c r="B108" s="1">
        <v>512</v>
      </c>
      <c r="C108" s="1" t="s">
        <v>12</v>
      </c>
      <c r="D108" s="1">
        <f t="shared" si="48"/>
        <v>0.51200000000000001</v>
      </c>
    </row>
    <row r="109" spans="1:4" x14ac:dyDescent="0.2">
      <c r="A109" s="8" t="s">
        <v>32</v>
      </c>
      <c r="B109" s="8">
        <v>612</v>
      </c>
      <c r="C109" s="8" t="s">
        <v>12</v>
      </c>
      <c r="D109" s="8">
        <f t="shared" si="48"/>
        <v>0.61199999999999999</v>
      </c>
    </row>
    <row r="110" spans="1:4" x14ac:dyDescent="0.2">
      <c r="A110" s="1" t="s">
        <v>203</v>
      </c>
      <c r="B110" s="1">
        <v>612</v>
      </c>
      <c r="C110" s="1" t="s">
        <v>12</v>
      </c>
      <c r="D110" s="1">
        <f t="shared" si="48"/>
        <v>0.61199999999999999</v>
      </c>
    </row>
    <row r="111" spans="1:4" x14ac:dyDescent="0.2">
      <c r="A111" s="8" t="s">
        <v>37</v>
      </c>
      <c r="B111" s="8">
        <v>20.149999999999999</v>
      </c>
      <c r="C111" s="8" t="s">
        <v>61</v>
      </c>
      <c r="D111" s="8">
        <f t="shared" si="48"/>
        <v>2.0149999999999998E-2</v>
      </c>
    </row>
    <row r="112" spans="1:4" x14ac:dyDescent="0.2">
      <c r="A112" s="1" t="s">
        <v>72</v>
      </c>
      <c r="B112" s="1">
        <v>14.6</v>
      </c>
      <c r="C112" s="1" t="s">
        <v>73</v>
      </c>
      <c r="D112" s="1">
        <f>B112*1</f>
        <v>14.6</v>
      </c>
    </row>
    <row r="113" spans="1:4" x14ac:dyDescent="0.2">
      <c r="A113" s="1" t="s">
        <v>343</v>
      </c>
      <c r="B113" s="1">
        <v>119.6</v>
      </c>
      <c r="C113" s="1" t="s">
        <v>12</v>
      </c>
      <c r="D113" s="1">
        <f>B113/1000</f>
        <v>0.1196</v>
      </c>
    </row>
    <row r="114" spans="1:4" x14ac:dyDescent="0.2">
      <c r="A114" s="1" t="s">
        <v>297</v>
      </c>
      <c r="B114" s="1">
        <v>264.85000000000002</v>
      </c>
      <c r="C114" s="1" t="s">
        <v>12</v>
      </c>
      <c r="D114" s="1">
        <f>B114/1000</f>
        <v>0.26485000000000003</v>
      </c>
    </row>
  </sheetData>
  <mergeCells count="129">
    <mergeCell ref="L90:M90"/>
    <mergeCell ref="AD19:AE19"/>
    <mergeCell ref="X61:Y61"/>
    <mergeCell ref="AA50:AB50"/>
    <mergeCell ref="AA52:AB52"/>
    <mergeCell ref="X66:Y66"/>
    <mergeCell ref="X71:Y71"/>
    <mergeCell ref="O86:P86"/>
    <mergeCell ref="O87:P87"/>
    <mergeCell ref="O88:P88"/>
    <mergeCell ref="O83:P83"/>
    <mergeCell ref="O84:P84"/>
    <mergeCell ref="O85:P85"/>
    <mergeCell ref="L78:P78"/>
    <mergeCell ref="O79:P79"/>
    <mergeCell ref="O80:P80"/>
    <mergeCell ref="O81:P81"/>
    <mergeCell ref="O82:P82"/>
    <mergeCell ref="AA53:AB53"/>
    <mergeCell ref="AA54:AB54"/>
    <mergeCell ref="AA55:AB55"/>
    <mergeCell ref="AA56:AB56"/>
    <mergeCell ref="AA57:AB57"/>
    <mergeCell ref="AA58:AB58"/>
    <mergeCell ref="I64:J64"/>
    <mergeCell ref="I65:J65"/>
    <mergeCell ref="I66:J66"/>
    <mergeCell ref="F70:G70"/>
    <mergeCell ref="R48:V48"/>
    <mergeCell ref="U49:V49"/>
    <mergeCell ref="U50:V50"/>
    <mergeCell ref="U51:V51"/>
    <mergeCell ref="U52:V52"/>
    <mergeCell ref="U53:V53"/>
    <mergeCell ref="U54:V54"/>
    <mergeCell ref="U55:V55"/>
    <mergeCell ref="U56:V56"/>
    <mergeCell ref="U57:V57"/>
    <mergeCell ref="U58:V58"/>
    <mergeCell ref="R60:S60"/>
    <mergeCell ref="I57:J57"/>
    <mergeCell ref="I58:J58"/>
    <mergeCell ref="I59:J59"/>
    <mergeCell ref="I60:J60"/>
    <mergeCell ref="I61:J61"/>
    <mergeCell ref="I62:J62"/>
    <mergeCell ref="I63:J63"/>
    <mergeCell ref="F48:J48"/>
    <mergeCell ref="F1:J1"/>
    <mergeCell ref="F3:J3"/>
    <mergeCell ref="F12:J12"/>
    <mergeCell ref="F23:J23"/>
    <mergeCell ref="F31:J31"/>
    <mergeCell ref="F38:J38"/>
    <mergeCell ref="AV33:AZ33"/>
    <mergeCell ref="AP30:AT30"/>
    <mergeCell ref="AV1:AZ1"/>
    <mergeCell ref="AV3:AZ3"/>
    <mergeCell ref="AV13:AZ13"/>
    <mergeCell ref="AV21:AZ21"/>
    <mergeCell ref="AV28:AZ28"/>
    <mergeCell ref="AP1:AT1"/>
    <mergeCell ref="AP3:AT3"/>
    <mergeCell ref="AP10:AT10"/>
    <mergeCell ref="AP18:AT18"/>
    <mergeCell ref="AP25:AT25"/>
    <mergeCell ref="X22:AB22"/>
    <mergeCell ref="X31:AB31"/>
    <mergeCell ref="X35:AB35"/>
    <mergeCell ref="X19:AB20"/>
    <mergeCell ref="AJ1:AN1"/>
    <mergeCell ref="AD1:AH1"/>
    <mergeCell ref="AD3:AH3"/>
    <mergeCell ref="L64:P64"/>
    <mergeCell ref="L69:P69"/>
    <mergeCell ref="L52:P52"/>
    <mergeCell ref="R40:V40"/>
    <mergeCell ref="X1:AB1"/>
    <mergeCell ref="X3:AB3"/>
    <mergeCell ref="X15:AB15"/>
    <mergeCell ref="X37:AB37"/>
    <mergeCell ref="R1:V1"/>
    <mergeCell ref="R3:V3"/>
    <mergeCell ref="R17:V17"/>
    <mergeCell ref="R27:V27"/>
    <mergeCell ref="R32:V32"/>
    <mergeCell ref="L1:P1"/>
    <mergeCell ref="L3:P3"/>
    <mergeCell ref="L13:P13"/>
    <mergeCell ref="L23:P23"/>
    <mergeCell ref="L32:P32"/>
    <mergeCell ref="L43:P43"/>
    <mergeCell ref="X43:AB43"/>
    <mergeCell ref="AD8:AH8"/>
    <mergeCell ref="AG9:AH9"/>
    <mergeCell ref="AG10:AH10"/>
    <mergeCell ref="AY49:AZ49"/>
    <mergeCell ref="AV40:AZ40"/>
    <mergeCell ref="AY41:AZ41"/>
    <mergeCell ref="AY42:AZ42"/>
    <mergeCell ref="AY43:AZ43"/>
    <mergeCell ref="AY44:AZ44"/>
    <mergeCell ref="AS42:AT42"/>
    <mergeCell ref="AS43:AT43"/>
    <mergeCell ref="AS44:AT44"/>
    <mergeCell ref="AS45:AT45"/>
    <mergeCell ref="AS46:AT46"/>
    <mergeCell ref="AS40:AT40"/>
    <mergeCell ref="AS41:AT41"/>
    <mergeCell ref="AY45:AZ45"/>
    <mergeCell ref="AY46:AZ46"/>
    <mergeCell ref="AY47:AZ47"/>
    <mergeCell ref="AY48:AZ48"/>
    <mergeCell ref="AG11:AH11"/>
    <mergeCell ref="AG12:AH12"/>
    <mergeCell ref="F56:J56"/>
    <mergeCell ref="AV51:AW51"/>
    <mergeCell ref="AA59:AB59"/>
    <mergeCell ref="X48:AB48"/>
    <mergeCell ref="AA49:AB49"/>
    <mergeCell ref="AP37:AT37"/>
    <mergeCell ref="AS38:AT38"/>
    <mergeCell ref="AS39:AT39"/>
    <mergeCell ref="AG13:AH13"/>
    <mergeCell ref="AG14:AH14"/>
    <mergeCell ref="AG16:AH16"/>
    <mergeCell ref="AG17:AH17"/>
    <mergeCell ref="AP48:AQ48"/>
    <mergeCell ref="AA51:AB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E47E-CCA4-F14A-B3C8-4B11F7520B7D}">
  <dimension ref="A1:AH114"/>
  <sheetViews>
    <sheetView topLeftCell="A36" zoomScaleNormal="150" zoomScaleSheetLayoutView="100" workbookViewId="0">
      <selection activeCell="W69" sqref="W69"/>
    </sheetView>
  </sheetViews>
  <sheetFormatPr defaultRowHeight="15" x14ac:dyDescent="0.2"/>
  <cols>
    <col min="1" max="1" width="27.0390625" customWidth="1"/>
    <col min="3" max="3" width="4.5703125" customWidth="1"/>
    <col min="6" max="6" width="26.36328125" customWidth="1"/>
    <col min="7" max="7" width="12.10546875" bestFit="1" customWidth="1"/>
    <col min="8" max="8" width="3.8984375" customWidth="1"/>
    <col min="12" max="12" width="26.36328125" customWidth="1"/>
    <col min="14" max="14" width="4.4375" customWidth="1"/>
    <col min="16" max="16" width="9.81640625" bestFit="1" customWidth="1"/>
    <col min="18" max="18" width="27.84375" customWidth="1"/>
    <col min="20" max="20" width="4.16796875" customWidth="1"/>
    <col min="24" max="24" width="25.9609375" customWidth="1"/>
    <col min="26" max="26" width="4.4375" customWidth="1"/>
    <col min="30" max="30" width="27.7109375" customWidth="1"/>
    <col min="32" max="32" width="4.16796875" customWidth="1"/>
  </cols>
  <sheetData>
    <row r="1" spans="1:34" ht="27.75" x14ac:dyDescent="0.2">
      <c r="A1" s="9" t="s">
        <v>0</v>
      </c>
      <c r="B1" s="28" t="s">
        <v>1</v>
      </c>
      <c r="C1" s="11" t="s">
        <v>2</v>
      </c>
      <c r="D1" s="12" t="s">
        <v>3</v>
      </c>
      <c r="F1" s="78" t="s">
        <v>348</v>
      </c>
      <c r="G1" s="78"/>
      <c r="H1" s="78"/>
      <c r="I1" s="78"/>
      <c r="J1" s="78"/>
      <c r="L1" s="86" t="s">
        <v>349</v>
      </c>
      <c r="M1" s="86"/>
      <c r="N1" s="86"/>
      <c r="O1" s="86"/>
      <c r="P1" s="86"/>
      <c r="R1" s="87" t="s">
        <v>350</v>
      </c>
      <c r="S1" s="87"/>
      <c r="T1" s="87"/>
      <c r="U1" s="87"/>
      <c r="V1" s="87"/>
      <c r="X1" s="141" t="s">
        <v>351</v>
      </c>
      <c r="Y1" s="141"/>
      <c r="Z1" s="141"/>
      <c r="AA1" s="141"/>
      <c r="AB1" s="141"/>
      <c r="AD1" s="115" t="s">
        <v>352</v>
      </c>
      <c r="AE1" s="115"/>
      <c r="AF1" s="115"/>
      <c r="AG1" s="115"/>
      <c r="AH1" s="115"/>
    </row>
    <row r="2" spans="1:34" x14ac:dyDescent="0.2">
      <c r="A2" s="1" t="s">
        <v>11</v>
      </c>
      <c r="B2" s="3">
        <v>69.03</v>
      </c>
      <c r="C2" s="5" t="s">
        <v>12</v>
      </c>
      <c r="D2" s="6">
        <f>B2/1000</f>
        <v>6.9030000000000008E-2</v>
      </c>
    </row>
    <row r="3" spans="1:34" x14ac:dyDescent="0.2">
      <c r="A3" s="1" t="s">
        <v>13</v>
      </c>
      <c r="B3" s="3">
        <v>129.1</v>
      </c>
      <c r="C3" s="5" t="s">
        <v>12</v>
      </c>
      <c r="D3" s="6">
        <f t="shared" ref="D3:D66" si="0">B3/1000</f>
        <v>0.12909999999999999</v>
      </c>
      <c r="F3" s="79" t="s">
        <v>18</v>
      </c>
      <c r="G3" s="80"/>
      <c r="H3" s="80"/>
      <c r="I3" s="80"/>
      <c r="J3" s="81"/>
      <c r="L3" s="75" t="s">
        <v>18</v>
      </c>
      <c r="M3" s="76"/>
      <c r="N3" s="76"/>
      <c r="O3" s="76"/>
      <c r="P3" s="77"/>
      <c r="R3" s="82" t="s">
        <v>18</v>
      </c>
      <c r="S3" s="83"/>
      <c r="T3" s="83"/>
      <c r="U3" s="83"/>
      <c r="V3" s="84"/>
      <c r="X3" s="142" t="s">
        <v>18</v>
      </c>
      <c r="Y3" s="143"/>
      <c r="Z3" s="143"/>
      <c r="AA3" s="143"/>
      <c r="AB3" s="144"/>
      <c r="AD3" s="89" t="s">
        <v>18</v>
      </c>
      <c r="AE3" s="90"/>
      <c r="AF3" s="90"/>
      <c r="AG3" s="90"/>
      <c r="AH3" s="91"/>
    </row>
    <row r="4" spans="1:34" x14ac:dyDescent="0.2">
      <c r="A4" s="1" t="s">
        <v>21</v>
      </c>
      <c r="B4" s="3">
        <v>11.59</v>
      </c>
      <c r="C4" s="5" t="s">
        <v>12</v>
      </c>
      <c r="D4" s="6">
        <f t="shared" si="0"/>
        <v>1.159E-2</v>
      </c>
      <c r="F4" s="1" t="s">
        <v>24</v>
      </c>
      <c r="G4" s="1">
        <v>2870</v>
      </c>
      <c r="H4" s="1" t="s">
        <v>22</v>
      </c>
      <c r="I4" s="1">
        <f>_xlfn.XLOOKUP(F4,$A$2:$A$116,$D$2:$D$116)</f>
        <v>7.6060000000000003E-2</v>
      </c>
      <c r="J4" s="17">
        <f>G4*I4</f>
        <v>218.29220000000001</v>
      </c>
      <c r="L4" s="1" t="s">
        <v>24</v>
      </c>
      <c r="M4" s="1">
        <v>2870</v>
      </c>
      <c r="N4" s="1" t="s">
        <v>22</v>
      </c>
      <c r="O4" s="1">
        <f>_xlfn.XLOOKUP(L4,$A$2:$A$116,$D$2:$D$116)</f>
        <v>7.6060000000000003E-2</v>
      </c>
      <c r="P4" s="17">
        <f>M4*O4</f>
        <v>218.29220000000001</v>
      </c>
      <c r="R4" s="1" t="s">
        <v>24</v>
      </c>
      <c r="S4" s="1">
        <v>2870</v>
      </c>
      <c r="T4" s="1" t="s">
        <v>22</v>
      </c>
      <c r="U4" s="1">
        <f>_xlfn.XLOOKUP(R4,$A$2:$A$116,$D$2:$D$116)</f>
        <v>7.6060000000000003E-2</v>
      </c>
      <c r="V4" s="17">
        <f>S4*U4</f>
        <v>218.29220000000001</v>
      </c>
      <c r="X4" s="1" t="s">
        <v>24</v>
      </c>
      <c r="Y4" s="1">
        <v>2870</v>
      </c>
      <c r="Z4" s="1" t="s">
        <v>22</v>
      </c>
      <c r="AA4" s="1">
        <f>_xlfn.XLOOKUP(X4,$A$2:$A$116,$D$2:$D$116)</f>
        <v>7.6060000000000003E-2</v>
      </c>
      <c r="AB4" s="17">
        <f>Y4*AA4</f>
        <v>218.29220000000001</v>
      </c>
      <c r="AD4" s="1" t="s">
        <v>24</v>
      </c>
      <c r="AE4" s="1">
        <v>2870</v>
      </c>
      <c r="AF4" s="1" t="s">
        <v>22</v>
      </c>
      <c r="AG4" s="1">
        <f>_xlfn.XLOOKUP(AD4,$A$2:$A$116,$D$2:$D$116)</f>
        <v>7.6060000000000003E-2</v>
      </c>
      <c r="AH4" s="17">
        <f>AE4*AG4</f>
        <v>218.29220000000001</v>
      </c>
    </row>
    <row r="5" spans="1:34" x14ac:dyDescent="0.2">
      <c r="A5" s="1" t="s">
        <v>26</v>
      </c>
      <c r="B5" s="3">
        <v>13.15</v>
      </c>
      <c r="C5" s="5" t="s">
        <v>12</v>
      </c>
      <c r="D5" s="6">
        <f t="shared" si="0"/>
        <v>1.315E-2</v>
      </c>
      <c r="F5" s="1" t="s">
        <v>26</v>
      </c>
      <c r="G5" s="1">
        <v>2130</v>
      </c>
      <c r="H5" s="1" t="s">
        <v>22</v>
      </c>
      <c r="I5" s="1">
        <f t="shared" ref="I5:I12" si="1">_xlfn.XLOOKUP(F5,$A$2:$A$116,$D$2:$D$116)</f>
        <v>1.315E-2</v>
      </c>
      <c r="J5" s="17">
        <f t="shared" ref="J5:J12" si="2">G5*I5</f>
        <v>28.009499999999999</v>
      </c>
      <c r="L5" s="1" t="s">
        <v>26</v>
      </c>
      <c r="M5" s="1">
        <v>2130</v>
      </c>
      <c r="N5" s="1" t="s">
        <v>22</v>
      </c>
      <c r="O5" s="1">
        <f t="shared" ref="O5:O12" si="3">_xlfn.XLOOKUP(L5,$A$2:$A$116,$D$2:$D$116)</f>
        <v>1.315E-2</v>
      </c>
      <c r="P5" s="17">
        <f t="shared" ref="P5:P12" si="4">M5*O5</f>
        <v>28.009499999999999</v>
      </c>
      <c r="R5" s="1" t="s">
        <v>26</v>
      </c>
      <c r="S5" s="1">
        <v>2130</v>
      </c>
      <c r="T5" s="1" t="s">
        <v>22</v>
      </c>
      <c r="U5" s="1">
        <f t="shared" ref="U5:U12" si="5">_xlfn.XLOOKUP(R5,$A$2:$A$116,$D$2:$D$116)</f>
        <v>1.315E-2</v>
      </c>
      <c r="V5" s="17">
        <f t="shared" ref="V5:V12" si="6">S5*U5</f>
        <v>28.009499999999999</v>
      </c>
      <c r="X5" s="1" t="s">
        <v>26</v>
      </c>
      <c r="Y5" s="1">
        <v>2130</v>
      </c>
      <c r="Z5" s="1" t="s">
        <v>22</v>
      </c>
      <c r="AA5" s="1">
        <f t="shared" ref="AA5:AA12" si="7">_xlfn.XLOOKUP(X5,$A$2:$A$116,$D$2:$D$116)</f>
        <v>1.315E-2</v>
      </c>
      <c r="AB5" s="17">
        <f t="shared" ref="AB5:AB12" si="8">Y5*AA5</f>
        <v>28.009499999999999</v>
      </c>
      <c r="AD5" s="1" t="s">
        <v>26</v>
      </c>
      <c r="AE5" s="1">
        <v>2130</v>
      </c>
      <c r="AF5" s="1" t="s">
        <v>22</v>
      </c>
      <c r="AG5" s="1">
        <f t="shared" ref="AG5:AG12" si="9">_xlfn.XLOOKUP(AD5,$A$2:$A$116,$D$2:$D$116)</f>
        <v>1.315E-2</v>
      </c>
      <c r="AH5" s="17">
        <f t="shared" ref="AH5:AH12" si="10">AE5*AG5</f>
        <v>28.009499999999999</v>
      </c>
    </row>
    <row r="6" spans="1:34" x14ac:dyDescent="0.2">
      <c r="A6" s="1" t="s">
        <v>31</v>
      </c>
      <c r="B6" s="3">
        <v>24.55</v>
      </c>
      <c r="C6" s="5" t="s">
        <v>12</v>
      </c>
      <c r="D6" s="6">
        <f t="shared" si="0"/>
        <v>2.4550000000000002E-2</v>
      </c>
      <c r="F6" s="1" t="s">
        <v>31</v>
      </c>
      <c r="G6" s="1">
        <v>2130</v>
      </c>
      <c r="H6" s="1" t="s">
        <v>22</v>
      </c>
      <c r="I6" s="1">
        <f t="shared" si="1"/>
        <v>2.4550000000000002E-2</v>
      </c>
      <c r="J6" s="17">
        <f t="shared" si="2"/>
        <v>52.291500000000006</v>
      </c>
      <c r="L6" s="1" t="s">
        <v>31</v>
      </c>
      <c r="M6" s="1">
        <v>2130</v>
      </c>
      <c r="N6" s="1" t="s">
        <v>22</v>
      </c>
      <c r="O6" s="1">
        <f t="shared" si="3"/>
        <v>2.4550000000000002E-2</v>
      </c>
      <c r="P6" s="17">
        <f t="shared" si="4"/>
        <v>52.291500000000006</v>
      </c>
      <c r="R6" s="1" t="s">
        <v>31</v>
      </c>
      <c r="S6" s="1">
        <v>2130</v>
      </c>
      <c r="T6" s="1" t="s">
        <v>22</v>
      </c>
      <c r="U6" s="1">
        <f t="shared" si="5"/>
        <v>2.4550000000000002E-2</v>
      </c>
      <c r="V6" s="17">
        <f t="shared" si="6"/>
        <v>52.291500000000006</v>
      </c>
      <c r="X6" s="1" t="s">
        <v>31</v>
      </c>
      <c r="Y6" s="1">
        <v>2130</v>
      </c>
      <c r="Z6" s="1" t="s">
        <v>22</v>
      </c>
      <c r="AA6" s="1">
        <f t="shared" si="7"/>
        <v>2.4550000000000002E-2</v>
      </c>
      <c r="AB6" s="17">
        <f t="shared" si="8"/>
        <v>52.291500000000006</v>
      </c>
      <c r="AD6" s="1" t="s">
        <v>31</v>
      </c>
      <c r="AE6" s="1">
        <v>2130</v>
      </c>
      <c r="AF6" s="1" t="s">
        <v>22</v>
      </c>
      <c r="AG6" s="1">
        <f t="shared" si="9"/>
        <v>2.4550000000000002E-2</v>
      </c>
      <c r="AH6" s="17">
        <f t="shared" si="10"/>
        <v>52.291500000000006</v>
      </c>
    </row>
    <row r="7" spans="1:34" x14ac:dyDescent="0.2">
      <c r="A7" s="1" t="s">
        <v>27</v>
      </c>
      <c r="B7" s="3">
        <v>16.75</v>
      </c>
      <c r="C7" s="5" t="s">
        <v>12</v>
      </c>
      <c r="D7" s="6">
        <f t="shared" si="0"/>
        <v>1.6750000000000001E-2</v>
      </c>
      <c r="F7" s="1" t="s">
        <v>13</v>
      </c>
      <c r="G7" s="1">
        <v>49</v>
      </c>
      <c r="H7" s="1" t="s">
        <v>22</v>
      </c>
      <c r="I7" s="1">
        <f t="shared" si="1"/>
        <v>0.12909999999999999</v>
      </c>
      <c r="J7" s="17">
        <f t="shared" si="2"/>
        <v>6.3258999999999999</v>
      </c>
      <c r="L7" s="1" t="s">
        <v>13</v>
      </c>
      <c r="M7" s="1">
        <v>49</v>
      </c>
      <c r="N7" s="1" t="s">
        <v>22</v>
      </c>
      <c r="O7" s="1">
        <f t="shared" si="3"/>
        <v>0.12909999999999999</v>
      </c>
      <c r="P7" s="17">
        <f t="shared" si="4"/>
        <v>6.3258999999999999</v>
      </c>
      <c r="R7" s="1" t="s">
        <v>13</v>
      </c>
      <c r="S7" s="1">
        <v>49</v>
      </c>
      <c r="T7" s="1" t="s">
        <v>22</v>
      </c>
      <c r="U7" s="1">
        <f t="shared" si="5"/>
        <v>0.12909999999999999</v>
      </c>
      <c r="V7" s="17">
        <f t="shared" si="6"/>
        <v>6.3258999999999999</v>
      </c>
      <c r="X7" s="1" t="s">
        <v>13</v>
      </c>
      <c r="Y7" s="1">
        <v>49</v>
      </c>
      <c r="Z7" s="1" t="s">
        <v>22</v>
      </c>
      <c r="AA7" s="1">
        <f t="shared" si="7"/>
        <v>0.12909999999999999</v>
      </c>
      <c r="AB7" s="17">
        <f t="shared" si="8"/>
        <v>6.3258999999999999</v>
      </c>
      <c r="AD7" s="1" t="s">
        <v>13</v>
      </c>
      <c r="AE7" s="1">
        <v>49</v>
      </c>
      <c r="AF7" s="1" t="s">
        <v>22</v>
      </c>
      <c r="AG7" s="1">
        <f t="shared" si="9"/>
        <v>0.12909999999999999</v>
      </c>
      <c r="AH7" s="17">
        <f t="shared" si="10"/>
        <v>6.3258999999999999</v>
      </c>
    </row>
    <row r="8" spans="1:34" x14ac:dyDescent="0.2">
      <c r="A8" s="1" t="s">
        <v>35</v>
      </c>
      <c r="B8" s="3">
        <v>49.5</v>
      </c>
      <c r="C8" s="5" t="s">
        <v>12</v>
      </c>
      <c r="D8" s="6">
        <f t="shared" si="0"/>
        <v>4.9500000000000002E-2</v>
      </c>
      <c r="F8" s="8" t="s">
        <v>30</v>
      </c>
      <c r="G8" s="8">
        <v>54</v>
      </c>
      <c r="H8" s="8" t="s">
        <v>22</v>
      </c>
      <c r="I8" s="1">
        <f t="shared" si="1"/>
        <v>5.2500000000000003E-3</v>
      </c>
      <c r="J8" s="18">
        <f t="shared" si="2"/>
        <v>0.28350000000000003</v>
      </c>
      <c r="L8" s="8" t="s">
        <v>30</v>
      </c>
      <c r="M8" s="8">
        <v>54</v>
      </c>
      <c r="N8" s="8" t="s">
        <v>22</v>
      </c>
      <c r="O8" s="1">
        <f t="shared" si="3"/>
        <v>5.2500000000000003E-3</v>
      </c>
      <c r="P8" s="18">
        <f t="shared" si="4"/>
        <v>0.28350000000000003</v>
      </c>
      <c r="R8" s="8" t="s">
        <v>30</v>
      </c>
      <c r="S8" s="8">
        <v>54</v>
      </c>
      <c r="T8" s="8" t="s">
        <v>22</v>
      </c>
      <c r="U8" s="1">
        <f t="shared" si="5"/>
        <v>5.2500000000000003E-3</v>
      </c>
      <c r="V8" s="18">
        <f t="shared" si="6"/>
        <v>0.28350000000000003</v>
      </c>
      <c r="X8" s="8" t="s">
        <v>30</v>
      </c>
      <c r="Y8" s="8">
        <v>54</v>
      </c>
      <c r="Z8" s="8" t="s">
        <v>22</v>
      </c>
      <c r="AA8" s="1">
        <f t="shared" si="7"/>
        <v>5.2500000000000003E-3</v>
      </c>
      <c r="AB8" s="18">
        <f t="shared" si="8"/>
        <v>0.28350000000000003</v>
      </c>
      <c r="AD8" s="8" t="s">
        <v>30</v>
      </c>
      <c r="AE8" s="8">
        <v>54</v>
      </c>
      <c r="AF8" s="8" t="s">
        <v>22</v>
      </c>
      <c r="AG8" s="1">
        <f t="shared" si="9"/>
        <v>5.2500000000000003E-3</v>
      </c>
      <c r="AH8" s="18">
        <f t="shared" si="10"/>
        <v>0.28350000000000003</v>
      </c>
    </row>
    <row r="9" spans="1:34" x14ac:dyDescent="0.2">
      <c r="A9" s="1" t="s">
        <v>40</v>
      </c>
      <c r="B9" s="3">
        <v>83.99</v>
      </c>
      <c r="C9" s="5" t="s">
        <v>12</v>
      </c>
      <c r="D9" s="6">
        <f t="shared" si="0"/>
        <v>8.3989999999999995E-2</v>
      </c>
      <c r="F9" s="1" t="s">
        <v>28</v>
      </c>
      <c r="G9" s="1">
        <v>1000</v>
      </c>
      <c r="H9" s="8" t="s">
        <v>22</v>
      </c>
      <c r="I9" s="1">
        <f t="shared" si="1"/>
        <v>7.0999999999999994E-2</v>
      </c>
      <c r="J9" s="18">
        <f t="shared" si="2"/>
        <v>71</v>
      </c>
      <c r="L9" s="1" t="s">
        <v>28</v>
      </c>
      <c r="M9" s="1">
        <v>1000</v>
      </c>
      <c r="N9" s="8" t="s">
        <v>22</v>
      </c>
      <c r="O9" s="1">
        <f t="shared" si="3"/>
        <v>7.0999999999999994E-2</v>
      </c>
      <c r="P9" s="18">
        <f t="shared" si="4"/>
        <v>71</v>
      </c>
      <c r="R9" s="1" t="s">
        <v>28</v>
      </c>
      <c r="S9" s="1">
        <v>1000</v>
      </c>
      <c r="T9" s="8" t="s">
        <v>22</v>
      </c>
      <c r="U9" s="1">
        <f t="shared" si="5"/>
        <v>7.0999999999999994E-2</v>
      </c>
      <c r="V9" s="18">
        <f t="shared" si="6"/>
        <v>71</v>
      </c>
      <c r="X9" s="1" t="s">
        <v>28</v>
      </c>
      <c r="Y9" s="1">
        <v>1000</v>
      </c>
      <c r="Z9" s="8" t="s">
        <v>22</v>
      </c>
      <c r="AA9" s="1">
        <f t="shared" si="7"/>
        <v>7.0999999999999994E-2</v>
      </c>
      <c r="AB9" s="18">
        <f t="shared" si="8"/>
        <v>71</v>
      </c>
      <c r="AD9" s="1" t="s">
        <v>28</v>
      </c>
      <c r="AE9" s="1">
        <v>1000</v>
      </c>
      <c r="AF9" s="8" t="s">
        <v>22</v>
      </c>
      <c r="AG9" s="1">
        <f t="shared" si="9"/>
        <v>7.0999999999999994E-2</v>
      </c>
      <c r="AH9" s="18">
        <f t="shared" si="10"/>
        <v>71</v>
      </c>
    </row>
    <row r="10" spans="1:34" x14ac:dyDescent="0.2">
      <c r="A10" s="1" t="s">
        <v>42</v>
      </c>
      <c r="B10" s="3">
        <v>11.59</v>
      </c>
      <c r="C10" s="5" t="s">
        <v>12</v>
      </c>
      <c r="D10" s="6">
        <f t="shared" si="0"/>
        <v>1.159E-2</v>
      </c>
      <c r="F10" s="1" t="s">
        <v>48</v>
      </c>
      <c r="G10" s="1">
        <v>4000</v>
      </c>
      <c r="H10" s="8" t="s">
        <v>22</v>
      </c>
      <c r="I10" s="1">
        <f t="shared" si="1"/>
        <v>0.28125</v>
      </c>
      <c r="J10" s="18">
        <f t="shared" si="2"/>
        <v>1125</v>
      </c>
      <c r="L10" s="1" t="s">
        <v>105</v>
      </c>
      <c r="M10" s="1">
        <v>4000</v>
      </c>
      <c r="N10" s="8" t="s">
        <v>22</v>
      </c>
      <c r="O10" s="1">
        <f t="shared" si="3"/>
        <v>0.29916000000000004</v>
      </c>
      <c r="P10" s="18">
        <f t="shared" si="4"/>
        <v>1196.6400000000001</v>
      </c>
      <c r="R10" s="1" t="s">
        <v>48</v>
      </c>
      <c r="S10" s="1">
        <v>4000</v>
      </c>
      <c r="T10" s="8" t="s">
        <v>22</v>
      </c>
      <c r="U10" s="1">
        <f t="shared" si="5"/>
        <v>0.28125</v>
      </c>
      <c r="V10" s="18">
        <f t="shared" si="6"/>
        <v>1125</v>
      </c>
      <c r="X10" s="1" t="s">
        <v>105</v>
      </c>
      <c r="Y10" s="1">
        <v>4000</v>
      </c>
      <c r="Z10" s="8" t="s">
        <v>22</v>
      </c>
      <c r="AA10" s="1">
        <f t="shared" si="7"/>
        <v>0.29916000000000004</v>
      </c>
      <c r="AB10" s="18">
        <f t="shared" si="8"/>
        <v>1196.6400000000001</v>
      </c>
      <c r="AD10" s="1" t="s">
        <v>105</v>
      </c>
      <c r="AE10" s="1">
        <v>4000</v>
      </c>
      <c r="AF10" s="8" t="s">
        <v>22</v>
      </c>
      <c r="AG10" s="1">
        <f t="shared" si="9"/>
        <v>0.29916000000000004</v>
      </c>
      <c r="AH10" s="18">
        <f t="shared" si="10"/>
        <v>1196.6400000000001</v>
      </c>
    </row>
    <row r="11" spans="1:34" x14ac:dyDescent="0.2">
      <c r="A11" s="1" t="s">
        <v>45</v>
      </c>
      <c r="B11" s="3">
        <v>14.11</v>
      </c>
      <c r="C11" s="5" t="s">
        <v>12</v>
      </c>
      <c r="D11" s="6">
        <f t="shared" si="0"/>
        <v>1.4109999999999999E-2</v>
      </c>
      <c r="F11" s="1" t="s">
        <v>21</v>
      </c>
      <c r="G11" s="1">
        <v>4000</v>
      </c>
      <c r="H11" s="8" t="s">
        <v>22</v>
      </c>
      <c r="I11" s="1">
        <f t="shared" si="1"/>
        <v>1.159E-2</v>
      </c>
      <c r="J11" s="18">
        <f t="shared" si="2"/>
        <v>46.36</v>
      </c>
      <c r="L11" s="1" t="s">
        <v>21</v>
      </c>
      <c r="M11" s="1">
        <v>4000</v>
      </c>
      <c r="N11" s="8" t="s">
        <v>22</v>
      </c>
      <c r="O11" s="1">
        <f t="shared" si="3"/>
        <v>1.159E-2</v>
      </c>
      <c r="P11" s="18">
        <f t="shared" si="4"/>
        <v>46.36</v>
      </c>
      <c r="R11" s="1" t="s">
        <v>21</v>
      </c>
      <c r="S11" s="1">
        <v>4000</v>
      </c>
      <c r="T11" s="8" t="s">
        <v>22</v>
      </c>
      <c r="U11" s="1">
        <f t="shared" si="5"/>
        <v>1.159E-2</v>
      </c>
      <c r="V11" s="18">
        <f t="shared" si="6"/>
        <v>46.36</v>
      </c>
      <c r="X11" s="1" t="s">
        <v>21</v>
      </c>
      <c r="Y11" s="1">
        <v>4000</v>
      </c>
      <c r="Z11" s="8" t="s">
        <v>22</v>
      </c>
      <c r="AA11" s="1">
        <f t="shared" si="7"/>
        <v>1.159E-2</v>
      </c>
      <c r="AB11" s="18">
        <f t="shared" si="8"/>
        <v>46.36</v>
      </c>
      <c r="AD11" s="1" t="s">
        <v>21</v>
      </c>
      <c r="AE11" s="1">
        <v>4000</v>
      </c>
      <c r="AF11" s="8" t="s">
        <v>22</v>
      </c>
      <c r="AG11" s="1">
        <f t="shared" si="9"/>
        <v>1.159E-2</v>
      </c>
      <c r="AH11" s="18">
        <f t="shared" si="10"/>
        <v>46.36</v>
      </c>
    </row>
    <row r="12" spans="1:34" x14ac:dyDescent="0.2">
      <c r="A12" s="1" t="s">
        <v>46</v>
      </c>
      <c r="B12" s="3">
        <v>24.61</v>
      </c>
      <c r="C12" s="5" t="s">
        <v>12</v>
      </c>
      <c r="D12" s="6">
        <f t="shared" si="0"/>
        <v>2.461E-2</v>
      </c>
      <c r="F12" s="1" t="s">
        <v>55</v>
      </c>
      <c r="G12" s="1">
        <v>1500</v>
      </c>
      <c r="H12" s="8" t="s">
        <v>22</v>
      </c>
      <c r="I12" s="1">
        <f t="shared" si="1"/>
        <v>1.341E-2</v>
      </c>
      <c r="J12" s="18">
        <f t="shared" si="2"/>
        <v>20.114999999999998</v>
      </c>
      <c r="L12" s="1" t="s">
        <v>55</v>
      </c>
      <c r="M12" s="1">
        <v>1500</v>
      </c>
      <c r="N12" s="8" t="s">
        <v>22</v>
      </c>
      <c r="O12" s="1">
        <f t="shared" si="3"/>
        <v>1.341E-2</v>
      </c>
      <c r="P12" s="18">
        <f t="shared" si="4"/>
        <v>20.114999999999998</v>
      </c>
      <c r="R12" s="1" t="s">
        <v>55</v>
      </c>
      <c r="S12" s="1">
        <v>1500</v>
      </c>
      <c r="T12" s="8" t="s">
        <v>22</v>
      </c>
      <c r="U12" s="1">
        <f t="shared" si="5"/>
        <v>1.341E-2</v>
      </c>
      <c r="V12" s="18">
        <f t="shared" si="6"/>
        <v>20.114999999999998</v>
      </c>
      <c r="X12" s="1" t="s">
        <v>55</v>
      </c>
      <c r="Y12" s="1">
        <v>1500</v>
      </c>
      <c r="Z12" s="8" t="s">
        <v>22</v>
      </c>
      <c r="AA12" s="1">
        <f t="shared" si="7"/>
        <v>1.341E-2</v>
      </c>
      <c r="AB12" s="18">
        <f t="shared" si="8"/>
        <v>20.114999999999998</v>
      </c>
      <c r="AD12" s="1" t="s">
        <v>55</v>
      </c>
      <c r="AE12" s="1">
        <v>1500</v>
      </c>
      <c r="AF12" s="8" t="s">
        <v>22</v>
      </c>
      <c r="AG12" s="1">
        <f t="shared" si="9"/>
        <v>1.341E-2</v>
      </c>
      <c r="AH12" s="18">
        <f t="shared" si="10"/>
        <v>20.114999999999998</v>
      </c>
    </row>
    <row r="13" spans="1:34" x14ac:dyDescent="0.2">
      <c r="A13" s="1" t="s">
        <v>30</v>
      </c>
      <c r="B13" s="3">
        <v>5.25</v>
      </c>
      <c r="C13" s="5" t="s">
        <v>12</v>
      </c>
      <c r="D13" s="6">
        <f t="shared" si="0"/>
        <v>5.2500000000000003E-3</v>
      </c>
      <c r="F13" s="1" t="s">
        <v>41</v>
      </c>
      <c r="G13" s="1">
        <f>SUM(G4:G12)</f>
        <v>17733</v>
      </c>
      <c r="H13" s="1" t="s">
        <v>22</v>
      </c>
      <c r="I13" s="1"/>
      <c r="J13" s="17">
        <f>SUM(J4:J12)</f>
        <v>1567.6776</v>
      </c>
      <c r="L13" s="1" t="s">
        <v>41</v>
      </c>
      <c r="M13" s="1">
        <f>SUM(M4:M12)</f>
        <v>17733</v>
      </c>
      <c r="N13" s="1" t="s">
        <v>22</v>
      </c>
      <c r="O13" s="1"/>
      <c r="P13" s="17">
        <f>SUM(P4:P12)</f>
        <v>1639.3176000000001</v>
      </c>
      <c r="R13" s="1" t="s">
        <v>41</v>
      </c>
      <c r="S13" s="1">
        <f>SUM(S4:S12)</f>
        <v>17733</v>
      </c>
      <c r="T13" s="1" t="s">
        <v>22</v>
      </c>
      <c r="U13" s="1"/>
      <c r="V13" s="17">
        <f>SUM(V4:V12)</f>
        <v>1567.6776</v>
      </c>
      <c r="X13" s="1" t="s">
        <v>41</v>
      </c>
      <c r="Y13" s="1">
        <f>SUM(Y4:Y12)</f>
        <v>17733</v>
      </c>
      <c r="Z13" s="1" t="s">
        <v>22</v>
      </c>
      <c r="AA13" s="1"/>
      <c r="AB13" s="17">
        <f>SUM(AB4:AB12)</f>
        <v>1639.3176000000001</v>
      </c>
      <c r="AD13" s="1" t="s">
        <v>41</v>
      </c>
      <c r="AE13" s="1">
        <f>SUM(AE4:AE12)</f>
        <v>17733</v>
      </c>
      <c r="AF13" s="1" t="s">
        <v>22</v>
      </c>
      <c r="AG13" s="1"/>
      <c r="AH13" s="17">
        <f>SUM(AH4:AH12)</f>
        <v>1639.3176000000001</v>
      </c>
    </row>
    <row r="14" spans="1:34" x14ac:dyDescent="0.2">
      <c r="A14" s="1" t="s">
        <v>55</v>
      </c>
      <c r="B14" s="3">
        <v>13.41</v>
      </c>
      <c r="C14" s="5" t="s">
        <v>12</v>
      </c>
      <c r="D14" s="6">
        <f t="shared" si="0"/>
        <v>1.341E-2</v>
      </c>
      <c r="F14" s="1" t="s">
        <v>43</v>
      </c>
      <c r="G14" s="1"/>
      <c r="H14" s="1" t="s">
        <v>22</v>
      </c>
      <c r="I14" s="1"/>
      <c r="J14" s="1">
        <f>J13/G13</f>
        <v>8.8404533919810527E-2</v>
      </c>
      <c r="L14" s="1" t="s">
        <v>43</v>
      </c>
      <c r="M14" s="1"/>
      <c r="N14" s="1" t="s">
        <v>22</v>
      </c>
      <c r="O14" s="1"/>
      <c r="P14" s="1">
        <f>P13/M13</f>
        <v>9.2444459482321106E-2</v>
      </c>
      <c r="R14" s="1" t="s">
        <v>43</v>
      </c>
      <c r="S14" s="1"/>
      <c r="T14" s="1" t="s">
        <v>22</v>
      </c>
      <c r="U14" s="1"/>
      <c r="V14" s="1">
        <f>V13/S13</f>
        <v>8.8404533919810527E-2</v>
      </c>
      <c r="X14" s="1" t="s">
        <v>43</v>
      </c>
      <c r="Y14" s="1"/>
      <c r="Z14" s="1" t="s">
        <v>22</v>
      </c>
      <c r="AA14" s="1"/>
      <c r="AB14" s="1">
        <f>AB13/Y13</f>
        <v>9.2444459482321106E-2</v>
      </c>
      <c r="AD14" s="1" t="s">
        <v>43</v>
      </c>
      <c r="AE14" s="1"/>
      <c r="AF14" s="1" t="s">
        <v>22</v>
      </c>
      <c r="AG14" s="1"/>
      <c r="AH14" s="1">
        <f>AH13/AE13</f>
        <v>9.2444459482321106E-2</v>
      </c>
    </row>
    <row r="15" spans="1:34" x14ac:dyDescent="0.2">
      <c r="A15" s="1" t="s">
        <v>60</v>
      </c>
      <c r="B15" s="3">
        <v>107</v>
      </c>
      <c r="C15" s="5" t="s">
        <v>61</v>
      </c>
      <c r="D15" s="6">
        <f t="shared" si="0"/>
        <v>0.107</v>
      </c>
    </row>
    <row r="16" spans="1:34" x14ac:dyDescent="0.2">
      <c r="A16" s="1" t="s">
        <v>64</v>
      </c>
      <c r="B16" s="3">
        <v>37.9</v>
      </c>
      <c r="C16" s="5" t="s">
        <v>61</v>
      </c>
      <c r="D16" s="6">
        <f t="shared" si="0"/>
        <v>3.7899999999999996E-2</v>
      </c>
      <c r="F16" s="79" t="s">
        <v>67</v>
      </c>
      <c r="G16" s="80"/>
      <c r="H16" s="80"/>
      <c r="I16" s="80"/>
      <c r="J16" s="81"/>
      <c r="L16" s="75" t="s">
        <v>67</v>
      </c>
      <c r="M16" s="76"/>
      <c r="N16" s="76"/>
      <c r="O16" s="76"/>
      <c r="P16" s="77"/>
      <c r="R16" s="82" t="s">
        <v>67</v>
      </c>
      <c r="S16" s="83"/>
      <c r="T16" s="83"/>
      <c r="U16" s="83"/>
      <c r="V16" s="84"/>
      <c r="X16" s="142" t="s">
        <v>67</v>
      </c>
      <c r="Y16" s="143"/>
      <c r="Z16" s="143"/>
      <c r="AA16" s="143"/>
      <c r="AB16" s="144"/>
      <c r="AD16" s="89" t="s">
        <v>67</v>
      </c>
      <c r="AE16" s="90"/>
      <c r="AF16" s="90"/>
      <c r="AG16" s="90"/>
      <c r="AH16" s="91"/>
    </row>
    <row r="17" spans="1:34" x14ac:dyDescent="0.2">
      <c r="A17" s="1" t="s">
        <v>65</v>
      </c>
      <c r="B17" s="3">
        <v>29.7</v>
      </c>
      <c r="C17" s="5" t="s">
        <v>12</v>
      </c>
      <c r="D17" s="6">
        <f t="shared" si="0"/>
        <v>2.9700000000000001E-2</v>
      </c>
      <c r="F17" s="1" t="s">
        <v>26</v>
      </c>
      <c r="G17" s="1">
        <v>1305</v>
      </c>
      <c r="H17" s="1" t="s">
        <v>22</v>
      </c>
      <c r="I17" s="1">
        <f>_xlfn.XLOOKUP(F17,$A$2:$A$112,$D$2:$D$112)</f>
        <v>1.315E-2</v>
      </c>
      <c r="J17" s="17">
        <f>G17*I17</f>
        <v>17.16075</v>
      </c>
      <c r="L17" s="1" t="s">
        <v>26</v>
      </c>
      <c r="M17" s="1">
        <v>1305</v>
      </c>
      <c r="N17" s="1" t="s">
        <v>22</v>
      </c>
      <c r="O17" s="1">
        <f>_xlfn.XLOOKUP(L17,$A$2:$A$112,$D$2:$D$112)</f>
        <v>1.315E-2</v>
      </c>
      <c r="P17" s="17">
        <f>M17*O17</f>
        <v>17.16075</v>
      </c>
      <c r="R17" s="1" t="s">
        <v>26</v>
      </c>
      <c r="S17" s="1">
        <v>1305</v>
      </c>
      <c r="T17" s="1" t="s">
        <v>22</v>
      </c>
      <c r="U17" s="1">
        <f>_xlfn.XLOOKUP(R17,$A$2:$A$112,$D$2:$D$112)</f>
        <v>1.315E-2</v>
      </c>
      <c r="V17" s="17">
        <f>S17*U17</f>
        <v>17.16075</v>
      </c>
      <c r="X17" s="1" t="s">
        <v>26</v>
      </c>
      <c r="Y17" s="1">
        <v>1305</v>
      </c>
      <c r="Z17" s="1" t="s">
        <v>22</v>
      </c>
      <c r="AA17" s="1">
        <f>_xlfn.XLOOKUP(X17,$A$2:$A$112,$D$2:$D$112)</f>
        <v>1.315E-2</v>
      </c>
      <c r="AB17" s="17">
        <f>Y17*AA17</f>
        <v>17.16075</v>
      </c>
      <c r="AD17" s="1" t="s">
        <v>26</v>
      </c>
      <c r="AE17" s="1">
        <v>1305</v>
      </c>
      <c r="AF17" s="1" t="s">
        <v>22</v>
      </c>
      <c r="AG17" s="1">
        <f>_xlfn.XLOOKUP(AD17,$A$2:$A$112,$D$2:$D$112)</f>
        <v>1.315E-2</v>
      </c>
      <c r="AH17" s="17">
        <f>AE17*AG17</f>
        <v>17.16075</v>
      </c>
    </row>
    <row r="18" spans="1:34" x14ac:dyDescent="0.2">
      <c r="A18" s="1" t="s">
        <v>69</v>
      </c>
      <c r="B18" s="3">
        <v>32.39</v>
      </c>
      <c r="C18" s="5" t="s">
        <v>12</v>
      </c>
      <c r="D18" s="6">
        <f t="shared" si="0"/>
        <v>3.2390000000000002E-2</v>
      </c>
      <c r="F18" s="1" t="s">
        <v>29</v>
      </c>
      <c r="G18" s="1">
        <v>348</v>
      </c>
      <c r="H18" s="1" t="s">
        <v>22</v>
      </c>
      <c r="I18" s="1">
        <f t="shared" ref="I18:I22" si="11">_xlfn.XLOOKUP(F18,$A$2:$A$112,$D$2:$D$112)</f>
        <v>8.1000000000000003E-2</v>
      </c>
      <c r="J18" s="17">
        <f t="shared" ref="J18:J22" si="12">G18*I18</f>
        <v>28.188000000000002</v>
      </c>
      <c r="L18" s="1" t="s">
        <v>29</v>
      </c>
      <c r="M18" s="1">
        <v>348</v>
      </c>
      <c r="N18" s="1" t="s">
        <v>22</v>
      </c>
      <c r="O18" s="1">
        <f t="shared" ref="O18:O22" si="13">_xlfn.XLOOKUP(L18,$A$2:$A$112,$D$2:$D$112)</f>
        <v>8.1000000000000003E-2</v>
      </c>
      <c r="P18" s="17">
        <f t="shared" ref="P18:P22" si="14">M18*O18</f>
        <v>28.188000000000002</v>
      </c>
      <c r="R18" s="1" t="s">
        <v>29</v>
      </c>
      <c r="S18" s="1">
        <v>348</v>
      </c>
      <c r="T18" s="1" t="s">
        <v>22</v>
      </c>
      <c r="U18" s="1">
        <f t="shared" ref="U18:U22" si="15">_xlfn.XLOOKUP(R18,$A$2:$A$112,$D$2:$D$112)</f>
        <v>8.1000000000000003E-2</v>
      </c>
      <c r="V18" s="17">
        <f t="shared" ref="V18:V22" si="16">S18*U18</f>
        <v>28.188000000000002</v>
      </c>
      <c r="X18" s="1" t="s">
        <v>29</v>
      </c>
      <c r="Y18" s="1">
        <v>348</v>
      </c>
      <c r="Z18" s="1" t="s">
        <v>22</v>
      </c>
      <c r="AA18" s="1">
        <f t="shared" ref="AA18:AA22" si="17">_xlfn.XLOOKUP(X18,$A$2:$A$112,$D$2:$D$112)</f>
        <v>8.1000000000000003E-2</v>
      </c>
      <c r="AB18" s="17">
        <f t="shared" ref="AB18:AB22" si="18">Y18*AA18</f>
        <v>28.188000000000002</v>
      </c>
      <c r="AD18" s="1" t="s">
        <v>29</v>
      </c>
      <c r="AE18" s="1">
        <v>348</v>
      </c>
      <c r="AF18" s="1" t="s">
        <v>22</v>
      </c>
      <c r="AG18" s="1">
        <f t="shared" ref="AG18:AG22" si="19">_xlfn.XLOOKUP(AD18,$A$2:$A$112,$D$2:$D$112)</f>
        <v>8.1000000000000003E-2</v>
      </c>
      <c r="AH18" s="17">
        <f t="shared" ref="AH18:AH22" si="20">AE18*AG18</f>
        <v>28.188000000000002</v>
      </c>
    </row>
    <row r="19" spans="1:34" x14ac:dyDescent="0.2">
      <c r="A19" s="1" t="s">
        <v>71</v>
      </c>
      <c r="B19" s="3">
        <v>100.48</v>
      </c>
      <c r="C19" s="5" t="s">
        <v>12</v>
      </c>
      <c r="D19" s="6">
        <f t="shared" si="0"/>
        <v>0.10048</v>
      </c>
      <c r="F19" s="1" t="s">
        <v>23</v>
      </c>
      <c r="G19" s="1">
        <v>261</v>
      </c>
      <c r="H19" s="1" t="s">
        <v>22</v>
      </c>
      <c r="I19" s="1">
        <f t="shared" si="11"/>
        <v>0</v>
      </c>
      <c r="J19" s="17">
        <f t="shared" si="12"/>
        <v>0</v>
      </c>
      <c r="L19" s="1" t="s">
        <v>23</v>
      </c>
      <c r="M19" s="1">
        <v>261</v>
      </c>
      <c r="N19" s="1" t="s">
        <v>22</v>
      </c>
      <c r="O19" s="1">
        <f t="shared" si="13"/>
        <v>0</v>
      </c>
      <c r="P19" s="17">
        <f t="shared" si="14"/>
        <v>0</v>
      </c>
      <c r="R19" s="1" t="s">
        <v>23</v>
      </c>
      <c r="S19" s="1">
        <v>261</v>
      </c>
      <c r="T19" s="1" t="s">
        <v>22</v>
      </c>
      <c r="U19" s="1">
        <f t="shared" si="15"/>
        <v>0</v>
      </c>
      <c r="V19" s="17">
        <f t="shared" si="16"/>
        <v>0</v>
      </c>
      <c r="X19" s="1" t="s">
        <v>23</v>
      </c>
      <c r="Y19" s="1">
        <v>261</v>
      </c>
      <c r="Z19" s="1" t="s">
        <v>22</v>
      </c>
      <c r="AA19" s="1">
        <f t="shared" si="17"/>
        <v>0</v>
      </c>
      <c r="AB19" s="17">
        <f t="shared" si="18"/>
        <v>0</v>
      </c>
      <c r="AD19" s="1" t="s">
        <v>23</v>
      </c>
      <c r="AE19" s="1">
        <v>261</v>
      </c>
      <c r="AF19" s="1" t="s">
        <v>22</v>
      </c>
      <c r="AG19" s="1">
        <f t="shared" si="19"/>
        <v>0</v>
      </c>
      <c r="AH19" s="17">
        <f t="shared" si="20"/>
        <v>0</v>
      </c>
    </row>
    <row r="20" spans="1:34" x14ac:dyDescent="0.2">
      <c r="A20" s="1" t="s">
        <v>75</v>
      </c>
      <c r="B20" s="3">
        <v>61.57</v>
      </c>
      <c r="C20" s="5" t="s">
        <v>12</v>
      </c>
      <c r="D20" s="6">
        <f t="shared" si="0"/>
        <v>6.157E-2</v>
      </c>
      <c r="F20" s="1" t="s">
        <v>39</v>
      </c>
      <c r="G20" s="1">
        <v>783</v>
      </c>
      <c r="H20" s="1" t="s">
        <v>22</v>
      </c>
      <c r="I20" s="1">
        <f t="shared" si="11"/>
        <v>5.6149999999999999E-2</v>
      </c>
      <c r="J20" s="17">
        <f t="shared" si="12"/>
        <v>43.965449999999997</v>
      </c>
      <c r="L20" s="1" t="s">
        <v>39</v>
      </c>
      <c r="M20" s="1">
        <v>783</v>
      </c>
      <c r="N20" s="1" t="s">
        <v>22</v>
      </c>
      <c r="O20" s="1">
        <f t="shared" si="13"/>
        <v>5.6149999999999999E-2</v>
      </c>
      <c r="P20" s="17">
        <f t="shared" si="14"/>
        <v>43.965449999999997</v>
      </c>
      <c r="R20" s="1" t="s">
        <v>39</v>
      </c>
      <c r="S20" s="1">
        <v>783</v>
      </c>
      <c r="T20" s="1" t="s">
        <v>22</v>
      </c>
      <c r="U20" s="1">
        <f t="shared" si="15"/>
        <v>5.6149999999999999E-2</v>
      </c>
      <c r="V20" s="17">
        <f t="shared" si="16"/>
        <v>43.965449999999997</v>
      </c>
      <c r="X20" s="1" t="s">
        <v>39</v>
      </c>
      <c r="Y20" s="1">
        <v>783</v>
      </c>
      <c r="Z20" s="1" t="s">
        <v>22</v>
      </c>
      <c r="AA20" s="1">
        <f t="shared" si="17"/>
        <v>5.6149999999999999E-2</v>
      </c>
      <c r="AB20" s="17">
        <f t="shared" si="18"/>
        <v>43.965449999999997</v>
      </c>
      <c r="AD20" s="1" t="s">
        <v>39</v>
      </c>
      <c r="AE20" s="1">
        <v>783</v>
      </c>
      <c r="AF20" s="1" t="s">
        <v>22</v>
      </c>
      <c r="AG20" s="1">
        <f t="shared" si="19"/>
        <v>5.6149999999999999E-2</v>
      </c>
      <c r="AH20" s="17">
        <f t="shared" si="20"/>
        <v>43.965449999999997</v>
      </c>
    </row>
    <row r="21" spans="1:34" x14ac:dyDescent="0.2">
      <c r="A21" s="1" t="s">
        <v>76</v>
      </c>
      <c r="B21" s="3">
        <v>81.03</v>
      </c>
      <c r="C21" s="5" t="s">
        <v>12</v>
      </c>
      <c r="D21" s="6">
        <f t="shared" si="0"/>
        <v>8.1030000000000005E-2</v>
      </c>
      <c r="F21" s="8" t="s">
        <v>24</v>
      </c>
      <c r="G21" s="8">
        <v>783</v>
      </c>
      <c r="H21" s="8" t="s">
        <v>22</v>
      </c>
      <c r="I21" s="1">
        <f t="shared" si="11"/>
        <v>7.6060000000000003E-2</v>
      </c>
      <c r="J21" s="18">
        <f t="shared" si="12"/>
        <v>59.55498</v>
      </c>
      <c r="L21" s="8" t="s">
        <v>24</v>
      </c>
      <c r="M21" s="8">
        <v>783</v>
      </c>
      <c r="N21" s="8" t="s">
        <v>22</v>
      </c>
      <c r="O21" s="1">
        <f t="shared" si="13"/>
        <v>7.6060000000000003E-2</v>
      </c>
      <c r="P21" s="18">
        <f t="shared" si="14"/>
        <v>59.55498</v>
      </c>
      <c r="R21" s="8" t="s">
        <v>24</v>
      </c>
      <c r="S21" s="8">
        <v>783</v>
      </c>
      <c r="T21" s="8" t="s">
        <v>22</v>
      </c>
      <c r="U21" s="1">
        <f t="shared" si="15"/>
        <v>7.6060000000000003E-2</v>
      </c>
      <c r="V21" s="18">
        <f t="shared" si="16"/>
        <v>59.55498</v>
      </c>
      <c r="X21" s="8" t="s">
        <v>24</v>
      </c>
      <c r="Y21" s="8">
        <v>783</v>
      </c>
      <c r="Z21" s="8" t="s">
        <v>22</v>
      </c>
      <c r="AA21" s="1">
        <f t="shared" si="17"/>
        <v>7.6060000000000003E-2</v>
      </c>
      <c r="AB21" s="18">
        <f t="shared" si="18"/>
        <v>59.55498</v>
      </c>
      <c r="AD21" s="8" t="s">
        <v>24</v>
      </c>
      <c r="AE21" s="8">
        <v>783</v>
      </c>
      <c r="AF21" s="8" t="s">
        <v>22</v>
      </c>
      <c r="AG21" s="1">
        <f t="shared" si="19"/>
        <v>7.6060000000000003E-2</v>
      </c>
      <c r="AH21" s="18">
        <f t="shared" si="20"/>
        <v>59.55498</v>
      </c>
    </row>
    <row r="22" spans="1:34" x14ac:dyDescent="0.2">
      <c r="A22" s="1" t="s">
        <v>77</v>
      </c>
      <c r="B22" s="3">
        <v>106.04</v>
      </c>
      <c r="C22" s="5" t="s">
        <v>12</v>
      </c>
      <c r="D22" s="6">
        <f t="shared" si="0"/>
        <v>0.10604000000000001</v>
      </c>
      <c r="F22" s="1" t="s">
        <v>30</v>
      </c>
      <c r="G22" s="1">
        <v>13.5</v>
      </c>
      <c r="H22" s="8" t="s">
        <v>22</v>
      </c>
      <c r="I22" s="1">
        <f t="shared" si="11"/>
        <v>5.2500000000000003E-3</v>
      </c>
      <c r="J22" s="18">
        <f t="shared" si="12"/>
        <v>7.0875000000000007E-2</v>
      </c>
      <c r="L22" s="1" t="s">
        <v>30</v>
      </c>
      <c r="M22" s="1">
        <v>13.5</v>
      </c>
      <c r="N22" s="8" t="s">
        <v>22</v>
      </c>
      <c r="O22" s="1">
        <f t="shared" si="13"/>
        <v>5.2500000000000003E-3</v>
      </c>
      <c r="P22" s="18">
        <f t="shared" si="14"/>
        <v>7.0875000000000007E-2</v>
      </c>
      <c r="R22" s="1" t="s">
        <v>30</v>
      </c>
      <c r="S22" s="1">
        <v>13.5</v>
      </c>
      <c r="T22" s="8" t="s">
        <v>22</v>
      </c>
      <c r="U22" s="1">
        <f t="shared" si="15"/>
        <v>5.2500000000000003E-3</v>
      </c>
      <c r="V22" s="18">
        <f t="shared" si="16"/>
        <v>7.0875000000000007E-2</v>
      </c>
      <c r="X22" s="1" t="s">
        <v>30</v>
      </c>
      <c r="Y22" s="1">
        <v>13.5</v>
      </c>
      <c r="Z22" s="8" t="s">
        <v>22</v>
      </c>
      <c r="AA22" s="1">
        <f t="shared" si="17"/>
        <v>5.2500000000000003E-3</v>
      </c>
      <c r="AB22" s="18">
        <f t="shared" si="18"/>
        <v>7.0875000000000007E-2</v>
      </c>
      <c r="AD22" s="1" t="s">
        <v>30</v>
      </c>
      <c r="AE22" s="1">
        <v>13.5</v>
      </c>
      <c r="AF22" s="8" t="s">
        <v>22</v>
      </c>
      <c r="AG22" s="1">
        <f t="shared" si="19"/>
        <v>5.2500000000000003E-3</v>
      </c>
      <c r="AH22" s="18">
        <f t="shared" si="20"/>
        <v>7.0875000000000007E-2</v>
      </c>
    </row>
    <row r="23" spans="1:34" x14ac:dyDescent="0.2">
      <c r="A23" s="1" t="s">
        <v>80</v>
      </c>
      <c r="B23" s="3">
        <v>89</v>
      </c>
      <c r="C23" s="5" t="s">
        <v>12</v>
      </c>
      <c r="D23" s="6">
        <f t="shared" si="0"/>
        <v>8.8999999999999996E-2</v>
      </c>
      <c r="F23" s="1" t="s">
        <v>41</v>
      </c>
      <c r="G23" s="1">
        <f>SUM(G17:G22)</f>
        <v>3493.5</v>
      </c>
      <c r="H23" s="1" t="s">
        <v>22</v>
      </c>
      <c r="I23" s="1"/>
      <c r="J23" s="17">
        <f>SUM(J17:J22)</f>
        <v>148.940055</v>
      </c>
      <c r="L23" s="1" t="s">
        <v>41</v>
      </c>
      <c r="M23" s="1">
        <f>SUM(M17:M22)</f>
        <v>3493.5</v>
      </c>
      <c r="N23" s="1" t="s">
        <v>22</v>
      </c>
      <c r="O23" s="1"/>
      <c r="P23" s="17">
        <f>SUM(P17:P22)</f>
        <v>148.940055</v>
      </c>
      <c r="R23" s="1" t="s">
        <v>41</v>
      </c>
      <c r="S23" s="1">
        <f>SUM(S17:S22)</f>
        <v>3493.5</v>
      </c>
      <c r="T23" s="1" t="s">
        <v>22</v>
      </c>
      <c r="U23" s="1"/>
      <c r="V23" s="17">
        <f>SUM(V17:V22)</f>
        <v>148.940055</v>
      </c>
      <c r="X23" s="1" t="s">
        <v>41</v>
      </c>
      <c r="Y23" s="1">
        <f>SUM(Y17:Y22)</f>
        <v>3493.5</v>
      </c>
      <c r="Z23" s="1" t="s">
        <v>22</v>
      </c>
      <c r="AA23" s="1"/>
      <c r="AB23" s="17">
        <f>SUM(AB17:AB22)</f>
        <v>148.940055</v>
      </c>
      <c r="AD23" s="1" t="s">
        <v>41</v>
      </c>
      <c r="AE23" s="1">
        <f>SUM(AE17:AE22)</f>
        <v>3493.5</v>
      </c>
      <c r="AF23" s="1" t="s">
        <v>22</v>
      </c>
      <c r="AG23" s="1"/>
      <c r="AH23" s="17">
        <f>SUM(AH17:AH22)</f>
        <v>148.940055</v>
      </c>
    </row>
    <row r="24" spans="1:34" x14ac:dyDescent="0.2">
      <c r="A24" s="1" t="s">
        <v>85</v>
      </c>
      <c r="B24" s="3">
        <v>26.5</v>
      </c>
      <c r="C24" s="5" t="s">
        <v>12</v>
      </c>
      <c r="D24" s="6">
        <f t="shared" si="0"/>
        <v>2.6499999999999999E-2</v>
      </c>
      <c r="F24" s="1" t="s">
        <v>43</v>
      </c>
      <c r="G24" s="1"/>
      <c r="H24" s="1" t="s">
        <v>22</v>
      </c>
      <c r="I24" s="1"/>
      <c r="J24" s="1">
        <f>J23/G23</f>
        <v>4.2633477887505371E-2</v>
      </c>
      <c r="L24" s="1" t="s">
        <v>43</v>
      </c>
      <c r="M24" s="1"/>
      <c r="N24" s="1" t="s">
        <v>22</v>
      </c>
      <c r="O24" s="1"/>
      <c r="P24" s="1">
        <f>P23/M23</f>
        <v>4.2633477887505371E-2</v>
      </c>
      <c r="R24" s="1" t="s">
        <v>43</v>
      </c>
      <c r="S24" s="1"/>
      <c r="T24" s="1" t="s">
        <v>22</v>
      </c>
      <c r="U24" s="1"/>
      <c r="V24" s="1">
        <f>V23/S23</f>
        <v>4.2633477887505371E-2</v>
      </c>
      <c r="X24" s="1" t="s">
        <v>43</v>
      </c>
      <c r="Y24" s="1"/>
      <c r="Z24" s="1" t="s">
        <v>22</v>
      </c>
      <c r="AA24" s="1"/>
      <c r="AB24" s="1">
        <f>AB23/Y23</f>
        <v>4.2633477887505371E-2</v>
      </c>
      <c r="AD24" s="1" t="s">
        <v>43</v>
      </c>
      <c r="AE24" s="1"/>
      <c r="AF24" s="1" t="s">
        <v>22</v>
      </c>
      <c r="AG24" s="1"/>
      <c r="AH24" s="1">
        <f>AH23/AE23</f>
        <v>4.2633477887505371E-2</v>
      </c>
    </row>
    <row r="25" spans="1:34" x14ac:dyDescent="0.2">
      <c r="A25" s="1" t="s">
        <v>89</v>
      </c>
      <c r="B25" s="3">
        <v>15.75</v>
      </c>
      <c r="C25" s="5" t="s">
        <v>12</v>
      </c>
      <c r="D25" s="6">
        <f t="shared" si="0"/>
        <v>1.575E-2</v>
      </c>
    </row>
    <row r="26" spans="1:34" x14ac:dyDescent="0.2">
      <c r="A26" s="1" t="s">
        <v>91</v>
      </c>
      <c r="B26" s="3">
        <v>49.85</v>
      </c>
      <c r="C26" s="5" t="s">
        <v>12</v>
      </c>
      <c r="D26" s="6">
        <f t="shared" si="0"/>
        <v>4.9849999999999998E-2</v>
      </c>
      <c r="F26" s="79" t="s">
        <v>353</v>
      </c>
      <c r="G26" s="80"/>
      <c r="H26" s="80"/>
      <c r="I26" s="80"/>
      <c r="J26" s="81"/>
      <c r="L26" s="75" t="s">
        <v>354</v>
      </c>
      <c r="M26" s="76"/>
      <c r="N26" s="76"/>
      <c r="O26" s="76"/>
      <c r="P26" s="77"/>
      <c r="R26" s="85" t="s">
        <v>296</v>
      </c>
      <c r="S26" s="85"/>
      <c r="T26" s="85"/>
      <c r="U26" s="85"/>
      <c r="V26" s="85"/>
      <c r="X26" s="142" t="s">
        <v>355</v>
      </c>
      <c r="Y26" s="143"/>
      <c r="Z26" s="143"/>
      <c r="AA26" s="143"/>
      <c r="AB26" s="144"/>
      <c r="AD26" s="89" t="s">
        <v>356</v>
      </c>
      <c r="AE26" s="90"/>
      <c r="AF26" s="90"/>
      <c r="AG26" s="90"/>
      <c r="AH26" s="91"/>
    </row>
    <row r="27" spans="1:34" x14ac:dyDescent="0.2">
      <c r="A27" s="1" t="s">
        <v>93</v>
      </c>
      <c r="B27" s="3">
        <v>36.75</v>
      </c>
      <c r="C27" s="5" t="s">
        <v>12</v>
      </c>
      <c r="D27" s="6">
        <f t="shared" si="0"/>
        <v>3.6749999999999998E-2</v>
      </c>
      <c r="F27" s="1" t="s">
        <v>189</v>
      </c>
      <c r="G27" s="1">
        <v>1000</v>
      </c>
      <c r="H27" s="1" t="s">
        <v>22</v>
      </c>
      <c r="I27" s="1">
        <f>_xlfn.XLOOKUP(F27,$A$2:$A$112,$D$2:$D$112)</f>
        <v>0.14759999999999998</v>
      </c>
      <c r="J27" s="17">
        <f>G27*I27</f>
        <v>147.6</v>
      </c>
      <c r="L27" s="1" t="s">
        <v>183</v>
      </c>
      <c r="M27" s="1">
        <v>1000</v>
      </c>
      <c r="N27" s="1" t="s">
        <v>22</v>
      </c>
      <c r="O27" s="1">
        <f>_xlfn.XLOOKUP(L27,$A$2:$A$112,$D$2:$D$112)</f>
        <v>0.16700000000000001</v>
      </c>
      <c r="P27" s="17">
        <f>M27*O27</f>
        <v>167</v>
      </c>
      <c r="R27" s="1" t="s">
        <v>165</v>
      </c>
      <c r="S27" s="1">
        <v>550</v>
      </c>
      <c r="T27" s="1" t="s">
        <v>22</v>
      </c>
      <c r="U27" s="1">
        <f>_xlfn.XLOOKUP(R27,$A$2:$A$113,$D$2:$D$113)</f>
        <v>0.2248</v>
      </c>
      <c r="V27" s="1">
        <f>U27*S27</f>
        <v>123.64</v>
      </c>
      <c r="X27" s="1" t="s">
        <v>86</v>
      </c>
      <c r="Y27" s="1">
        <v>1000</v>
      </c>
      <c r="Z27" s="1" t="s">
        <v>22</v>
      </c>
      <c r="AA27" s="1">
        <f>_xlfn.XLOOKUP(X27,$A$2:$A$112,$D$2:$D$112)</f>
        <v>0.126</v>
      </c>
      <c r="AB27" s="17">
        <f>Y27*AA27</f>
        <v>126</v>
      </c>
      <c r="AD27" s="1" t="s">
        <v>188</v>
      </c>
      <c r="AE27" s="1">
        <v>1000</v>
      </c>
      <c r="AF27" s="1" t="s">
        <v>22</v>
      </c>
      <c r="AG27" s="1">
        <f>_xlfn.XLOOKUP(AD27,$A$2:$A$112,$D$2:$D$112)</f>
        <v>0.13300000000000001</v>
      </c>
      <c r="AH27" s="17">
        <f>AE27*AG27</f>
        <v>133</v>
      </c>
    </row>
    <row r="28" spans="1:34" x14ac:dyDescent="0.2">
      <c r="A28" s="1" t="s">
        <v>95</v>
      </c>
      <c r="B28" s="3">
        <v>98.75</v>
      </c>
      <c r="C28" s="5" t="s">
        <v>12</v>
      </c>
      <c r="D28" s="6">
        <f t="shared" si="0"/>
        <v>9.8750000000000004E-2</v>
      </c>
      <c r="F28" s="1" t="s">
        <v>26</v>
      </c>
      <c r="G28" s="1">
        <v>400</v>
      </c>
      <c r="H28" s="1" t="s">
        <v>22</v>
      </c>
      <c r="I28" s="1">
        <f t="shared" ref="I28:I29" si="21">_xlfn.XLOOKUP(F28,$A$2:$A$112,$D$2:$D$112)</f>
        <v>1.315E-2</v>
      </c>
      <c r="J28" s="17">
        <f t="shared" ref="J28:J29" si="22">G28*I28</f>
        <v>5.26</v>
      </c>
      <c r="L28" s="1" t="s">
        <v>26</v>
      </c>
      <c r="M28" s="1">
        <v>400</v>
      </c>
      <c r="N28" s="1" t="s">
        <v>22</v>
      </c>
      <c r="O28" s="1">
        <f t="shared" ref="O28:O29" si="23">_xlfn.XLOOKUP(L28,$A$2:$A$112,$D$2:$D$112)</f>
        <v>1.315E-2</v>
      </c>
      <c r="P28" s="17">
        <f t="shared" ref="P28:P29" si="24">M28*O28</f>
        <v>5.26</v>
      </c>
      <c r="R28" s="1" t="s">
        <v>168</v>
      </c>
      <c r="S28" s="1">
        <v>550</v>
      </c>
      <c r="T28" s="1" t="s">
        <v>22</v>
      </c>
      <c r="U28" s="1">
        <f t="shared" ref="U28:U30" si="25">_xlfn.XLOOKUP(R28,$A$2:$A$113,$D$2:$D$113)</f>
        <v>0.1414</v>
      </c>
      <c r="V28" s="1">
        <f t="shared" ref="V28:V30" si="26">U28*S28</f>
        <v>77.77</v>
      </c>
      <c r="X28" s="1" t="s">
        <v>26</v>
      </c>
      <c r="Y28" s="1">
        <v>400</v>
      </c>
      <c r="Z28" s="1" t="s">
        <v>22</v>
      </c>
      <c r="AA28" s="1">
        <f t="shared" ref="AA28:AA29" si="27">_xlfn.XLOOKUP(X28,$A$2:$A$112,$D$2:$D$112)</f>
        <v>1.315E-2</v>
      </c>
      <c r="AB28" s="17">
        <f t="shared" ref="AB28:AB29" si="28">Y28*AA28</f>
        <v>5.26</v>
      </c>
      <c r="AD28" s="1" t="s">
        <v>26</v>
      </c>
      <c r="AE28" s="1">
        <v>400</v>
      </c>
      <c r="AF28" s="1" t="s">
        <v>22</v>
      </c>
      <c r="AG28" s="1">
        <f t="shared" ref="AG28:AG29" si="29">_xlfn.XLOOKUP(AD28,$A$2:$A$112,$D$2:$D$112)</f>
        <v>1.315E-2</v>
      </c>
      <c r="AH28" s="17">
        <f t="shared" ref="AH28:AH29" si="30">AE28*AG28</f>
        <v>5.26</v>
      </c>
    </row>
    <row r="29" spans="1:34" x14ac:dyDescent="0.2">
      <c r="A29" s="1" t="s">
        <v>96</v>
      </c>
      <c r="B29" s="3">
        <v>498</v>
      </c>
      <c r="C29" s="5" t="s">
        <v>97</v>
      </c>
      <c r="D29" s="7">
        <f t="shared" si="0"/>
        <v>0.498</v>
      </c>
      <c r="F29" s="1" t="s">
        <v>90</v>
      </c>
      <c r="G29" s="1">
        <v>15</v>
      </c>
      <c r="H29" s="1" t="s">
        <v>22</v>
      </c>
      <c r="I29" s="1">
        <f t="shared" si="21"/>
        <v>0.93</v>
      </c>
      <c r="J29" s="17">
        <f t="shared" si="22"/>
        <v>13.950000000000001</v>
      </c>
      <c r="L29" s="1" t="s">
        <v>90</v>
      </c>
      <c r="M29" s="1">
        <v>15</v>
      </c>
      <c r="N29" s="1" t="s">
        <v>22</v>
      </c>
      <c r="O29" s="1">
        <f t="shared" si="23"/>
        <v>0.93</v>
      </c>
      <c r="P29" s="17">
        <f t="shared" si="24"/>
        <v>13.950000000000001</v>
      </c>
      <c r="R29" s="1" t="s">
        <v>26</v>
      </c>
      <c r="S29" s="1">
        <v>750</v>
      </c>
      <c r="T29" s="1" t="s">
        <v>22</v>
      </c>
      <c r="U29" s="1">
        <f t="shared" si="25"/>
        <v>1.315E-2</v>
      </c>
      <c r="V29" s="1">
        <f t="shared" si="26"/>
        <v>9.8625000000000007</v>
      </c>
      <c r="X29" s="1" t="s">
        <v>90</v>
      </c>
      <c r="Y29" s="1">
        <v>15</v>
      </c>
      <c r="Z29" s="1" t="s">
        <v>22</v>
      </c>
      <c r="AA29" s="1">
        <f t="shared" si="27"/>
        <v>0.93</v>
      </c>
      <c r="AB29" s="17">
        <f t="shared" si="28"/>
        <v>13.950000000000001</v>
      </c>
      <c r="AD29" s="1" t="s">
        <v>90</v>
      </c>
      <c r="AE29" s="1">
        <v>15</v>
      </c>
      <c r="AF29" s="1" t="s">
        <v>22</v>
      </c>
      <c r="AG29" s="1">
        <f t="shared" si="29"/>
        <v>0.93</v>
      </c>
      <c r="AH29" s="17">
        <f t="shared" si="30"/>
        <v>13.950000000000001</v>
      </c>
    </row>
    <row r="30" spans="1:34" x14ac:dyDescent="0.2">
      <c r="A30" s="1" t="s">
        <v>38</v>
      </c>
      <c r="B30" s="3">
        <v>385</v>
      </c>
      <c r="C30" s="5" t="s">
        <v>12</v>
      </c>
      <c r="D30" s="6">
        <f t="shared" si="0"/>
        <v>0.38500000000000001</v>
      </c>
      <c r="F30" s="1" t="s">
        <v>41</v>
      </c>
      <c r="G30" s="1">
        <f>SUM(G27:G29)</f>
        <v>1415</v>
      </c>
      <c r="H30" s="1" t="s">
        <v>22</v>
      </c>
      <c r="I30" s="1"/>
      <c r="J30" s="17">
        <f>SUM(J27:J29)</f>
        <v>166.80999999999997</v>
      </c>
      <c r="L30" s="1" t="s">
        <v>41</v>
      </c>
      <c r="M30" s="1">
        <f>SUM(M27:M29)</f>
        <v>1415</v>
      </c>
      <c r="N30" s="1" t="s">
        <v>22</v>
      </c>
      <c r="O30" s="1"/>
      <c r="P30" s="17">
        <f>SUM(P27:P29)</f>
        <v>186.20999999999998</v>
      </c>
      <c r="R30" s="1" t="s">
        <v>74</v>
      </c>
      <c r="S30" s="1">
        <v>50</v>
      </c>
      <c r="T30" s="1" t="s">
        <v>22</v>
      </c>
      <c r="U30" s="1">
        <f t="shared" si="25"/>
        <v>0.20663000000000001</v>
      </c>
      <c r="V30" s="1">
        <f t="shared" si="26"/>
        <v>10.3315</v>
      </c>
      <c r="X30" s="1" t="s">
        <v>41</v>
      </c>
      <c r="Y30" s="1">
        <f>SUM(Y27:Y29)</f>
        <v>1415</v>
      </c>
      <c r="Z30" s="1" t="s">
        <v>22</v>
      </c>
      <c r="AA30" s="1"/>
      <c r="AB30" s="17">
        <f>SUM(AB27:AB29)</f>
        <v>145.20999999999998</v>
      </c>
      <c r="AD30" s="1" t="s">
        <v>41</v>
      </c>
      <c r="AE30" s="1">
        <f>SUM(AE27:AE29)</f>
        <v>1415</v>
      </c>
      <c r="AF30" s="1" t="s">
        <v>22</v>
      </c>
      <c r="AG30" s="1"/>
      <c r="AH30" s="17">
        <f>SUM(AH27:AH29)</f>
        <v>152.20999999999998</v>
      </c>
    </row>
    <row r="31" spans="1:34" x14ac:dyDescent="0.2">
      <c r="A31" s="1" t="s">
        <v>100</v>
      </c>
      <c r="B31" s="3">
        <v>247.35</v>
      </c>
      <c r="C31" s="5" t="s">
        <v>12</v>
      </c>
      <c r="D31" s="6">
        <f t="shared" si="0"/>
        <v>0.24734999999999999</v>
      </c>
      <c r="F31" s="1" t="s">
        <v>43</v>
      </c>
      <c r="G31" s="1"/>
      <c r="H31" s="1" t="s">
        <v>22</v>
      </c>
      <c r="I31" s="1"/>
      <c r="J31" s="1">
        <f>J30/G30</f>
        <v>0.11788692579505299</v>
      </c>
      <c r="L31" s="1" t="s">
        <v>43</v>
      </c>
      <c r="M31" s="1"/>
      <c r="N31" s="1" t="s">
        <v>22</v>
      </c>
      <c r="O31" s="1"/>
      <c r="P31" s="1">
        <f>P30/M30</f>
        <v>0.13159717314487632</v>
      </c>
      <c r="R31" s="1" t="s">
        <v>41</v>
      </c>
      <c r="S31" s="1">
        <f>SUM(S27:S30)</f>
        <v>1900</v>
      </c>
      <c r="T31" s="1" t="s">
        <v>22</v>
      </c>
      <c r="U31" s="1"/>
      <c r="V31" s="1">
        <f>SUM(V27:V30)</f>
        <v>221.60400000000001</v>
      </c>
      <c r="X31" s="1" t="s">
        <v>43</v>
      </c>
      <c r="Y31" s="1"/>
      <c r="Z31" s="1" t="s">
        <v>22</v>
      </c>
      <c r="AA31" s="1"/>
      <c r="AB31" s="1">
        <f>AB30/Y30</f>
        <v>0.10262190812720846</v>
      </c>
      <c r="AD31" s="1" t="s">
        <v>43</v>
      </c>
      <c r="AE31" s="1"/>
      <c r="AF31" s="1" t="s">
        <v>22</v>
      </c>
      <c r="AG31" s="1"/>
      <c r="AH31" s="1">
        <f>AH30/AE30</f>
        <v>0.10756890459363956</v>
      </c>
    </row>
    <row r="32" spans="1:34" x14ac:dyDescent="0.2">
      <c r="A32" s="1" t="s">
        <v>104</v>
      </c>
      <c r="B32" s="3">
        <v>298.3</v>
      </c>
      <c r="C32" s="5" t="s">
        <v>12</v>
      </c>
      <c r="D32" s="6">
        <f t="shared" si="0"/>
        <v>0.29830000000000001</v>
      </c>
      <c r="R32" s="1" t="s">
        <v>43</v>
      </c>
      <c r="S32" s="1"/>
      <c r="T32" s="1"/>
      <c r="U32" s="1"/>
      <c r="V32" s="1">
        <f>V31/S31</f>
        <v>0.11663368421052632</v>
      </c>
    </row>
    <row r="33" spans="1:34" x14ac:dyDescent="0.2">
      <c r="A33" s="1" t="s">
        <v>48</v>
      </c>
      <c r="B33" s="3">
        <v>281.25</v>
      </c>
      <c r="C33" s="5" t="s">
        <v>12</v>
      </c>
      <c r="D33" s="6">
        <f t="shared" si="0"/>
        <v>0.28125</v>
      </c>
      <c r="F33" s="79" t="s">
        <v>357</v>
      </c>
      <c r="G33" s="80"/>
      <c r="H33" s="80"/>
      <c r="I33" s="80"/>
      <c r="J33" s="81"/>
      <c r="L33" s="75" t="s">
        <v>358</v>
      </c>
      <c r="M33" s="76"/>
      <c r="N33" s="76"/>
      <c r="O33" s="76"/>
      <c r="P33" s="77"/>
      <c r="X33" s="142" t="s">
        <v>359</v>
      </c>
      <c r="Y33" s="143"/>
      <c r="Z33" s="143"/>
      <c r="AA33" s="143"/>
      <c r="AB33" s="144"/>
      <c r="AD33" s="89" t="s">
        <v>360</v>
      </c>
      <c r="AE33" s="90"/>
      <c r="AF33" s="90"/>
      <c r="AG33" s="90"/>
      <c r="AH33" s="91"/>
    </row>
    <row r="34" spans="1:34" x14ac:dyDescent="0.2">
      <c r="A34" s="1" t="s">
        <v>105</v>
      </c>
      <c r="B34" s="3">
        <v>299.16000000000003</v>
      </c>
      <c r="C34" s="5" t="s">
        <v>12</v>
      </c>
      <c r="D34" s="6">
        <f t="shared" si="0"/>
        <v>0.29916000000000004</v>
      </c>
      <c r="F34" s="1" t="s">
        <v>117</v>
      </c>
      <c r="G34" s="1">
        <v>52</v>
      </c>
      <c r="H34" s="1" t="s">
        <v>22</v>
      </c>
      <c r="I34" s="20">
        <v>8.8400000000000006E-2</v>
      </c>
      <c r="J34" s="17">
        <f>I34*G34</f>
        <v>4.5968</v>
      </c>
      <c r="L34" s="1" t="s">
        <v>117</v>
      </c>
      <c r="M34" s="1">
        <v>52</v>
      </c>
      <c r="N34" s="1" t="s">
        <v>22</v>
      </c>
      <c r="O34" s="20">
        <v>9.2439999999999994E-2</v>
      </c>
      <c r="P34" s="17">
        <f>O34*M34</f>
        <v>4.8068799999999996</v>
      </c>
      <c r="R34" s="82" t="s">
        <v>361</v>
      </c>
      <c r="S34" s="83"/>
      <c r="T34" s="83"/>
      <c r="U34" s="83"/>
      <c r="V34" s="84"/>
      <c r="X34" s="1" t="s">
        <v>117</v>
      </c>
      <c r="Y34" s="1">
        <v>52</v>
      </c>
      <c r="Z34" s="1" t="s">
        <v>22</v>
      </c>
      <c r="AA34" s="20">
        <v>9.2439999999999994E-2</v>
      </c>
      <c r="AB34" s="17">
        <f>AA34*Y34</f>
        <v>4.8068799999999996</v>
      </c>
      <c r="AD34" s="1" t="s">
        <v>117</v>
      </c>
      <c r="AE34" s="1">
        <v>52</v>
      </c>
      <c r="AF34" s="1" t="s">
        <v>22</v>
      </c>
      <c r="AG34" s="20">
        <v>9.2439999999999994E-2</v>
      </c>
      <c r="AH34" s="17">
        <f>AG34*AE34</f>
        <v>4.8068799999999996</v>
      </c>
    </row>
    <row r="35" spans="1:34" ht="27.75" x14ac:dyDescent="0.2">
      <c r="A35" s="2" t="s">
        <v>106</v>
      </c>
      <c r="B35" s="3">
        <v>432.5</v>
      </c>
      <c r="C35" s="5" t="s">
        <v>12</v>
      </c>
      <c r="D35" s="6">
        <f t="shared" si="0"/>
        <v>0.4325</v>
      </c>
      <c r="F35" s="1" t="s">
        <v>121</v>
      </c>
      <c r="G35" s="1">
        <v>15</v>
      </c>
      <c r="H35" s="1" t="s">
        <v>22</v>
      </c>
      <c r="I35" s="1">
        <v>4.2599999999999999E-2</v>
      </c>
      <c r="J35" s="17">
        <f t="shared" ref="J35:J38" si="31">I35*G35</f>
        <v>0.63900000000000001</v>
      </c>
      <c r="L35" s="1" t="s">
        <v>121</v>
      </c>
      <c r="M35" s="1">
        <v>15</v>
      </c>
      <c r="N35" s="1" t="s">
        <v>22</v>
      </c>
      <c r="O35" s="1">
        <v>4.2599999999999999E-2</v>
      </c>
      <c r="P35" s="17">
        <f t="shared" ref="P35:P37" si="32">O35*M35</f>
        <v>0.63900000000000001</v>
      </c>
      <c r="R35" s="1" t="s">
        <v>117</v>
      </c>
      <c r="S35" s="1">
        <v>52</v>
      </c>
      <c r="T35" s="1" t="s">
        <v>22</v>
      </c>
      <c r="U35" s="20">
        <v>8.8400000000000006E-2</v>
      </c>
      <c r="V35" s="17">
        <f>U35*S35</f>
        <v>4.5968</v>
      </c>
      <c r="X35" s="1" t="s">
        <v>121</v>
      </c>
      <c r="Y35" s="1">
        <v>15</v>
      </c>
      <c r="Z35" s="1" t="s">
        <v>22</v>
      </c>
      <c r="AA35" s="1">
        <v>4.2599999999999999E-2</v>
      </c>
      <c r="AB35" s="17">
        <f t="shared" ref="AB35:AB38" si="33">AA35*Y35</f>
        <v>0.63900000000000001</v>
      </c>
      <c r="AD35" s="1" t="s">
        <v>121</v>
      </c>
      <c r="AE35" s="1">
        <v>15</v>
      </c>
      <c r="AF35" s="1" t="s">
        <v>22</v>
      </c>
      <c r="AG35" s="1">
        <v>4.2599999999999999E-2</v>
      </c>
      <c r="AH35" s="17">
        <f t="shared" ref="AH35:AH39" si="34">AG35*AE35</f>
        <v>0.63900000000000001</v>
      </c>
    </row>
    <row r="36" spans="1:34" x14ac:dyDescent="0.2">
      <c r="A36" s="2" t="s">
        <v>107</v>
      </c>
      <c r="B36" s="3">
        <v>317</v>
      </c>
      <c r="C36" s="5" t="s">
        <v>12</v>
      </c>
      <c r="D36" s="6">
        <f t="shared" si="0"/>
        <v>0.317</v>
      </c>
      <c r="F36" s="1" t="s">
        <v>362</v>
      </c>
      <c r="G36" s="1">
        <v>12</v>
      </c>
      <c r="H36" s="1" t="s">
        <v>22</v>
      </c>
      <c r="I36" s="1">
        <v>0.11788999999999999</v>
      </c>
      <c r="J36" s="17">
        <f t="shared" si="31"/>
        <v>1.4146799999999999</v>
      </c>
      <c r="L36" s="1" t="s">
        <v>363</v>
      </c>
      <c r="M36" s="1">
        <v>12</v>
      </c>
      <c r="N36" s="1" t="s">
        <v>22</v>
      </c>
      <c r="O36" s="1">
        <v>0.11788999999999999</v>
      </c>
      <c r="P36" s="17">
        <f t="shared" si="32"/>
        <v>1.4146799999999999</v>
      </c>
      <c r="R36" s="1" t="s">
        <v>121</v>
      </c>
      <c r="S36" s="1">
        <v>15</v>
      </c>
      <c r="T36" s="1" t="s">
        <v>22</v>
      </c>
      <c r="U36" s="1">
        <v>4.2599999999999999E-2</v>
      </c>
      <c r="V36" s="17">
        <f t="shared" ref="V36:V38" si="35">U36*S36</f>
        <v>0.63900000000000001</v>
      </c>
      <c r="X36" s="1" t="s">
        <v>364</v>
      </c>
      <c r="Y36" s="1">
        <v>12</v>
      </c>
      <c r="Z36" s="1" t="s">
        <v>22</v>
      </c>
      <c r="AA36" s="1">
        <v>0.10262</v>
      </c>
      <c r="AB36" s="17">
        <f t="shared" si="33"/>
        <v>1.2314400000000001</v>
      </c>
      <c r="AD36" s="1" t="s">
        <v>365</v>
      </c>
      <c r="AE36" s="1">
        <v>12</v>
      </c>
      <c r="AF36" s="1" t="s">
        <v>22</v>
      </c>
      <c r="AG36" s="1">
        <v>0.10262</v>
      </c>
      <c r="AH36" s="17">
        <f t="shared" si="34"/>
        <v>1.2314400000000001</v>
      </c>
    </row>
    <row r="37" spans="1:34" x14ac:dyDescent="0.2">
      <c r="A37" s="2" t="s">
        <v>66</v>
      </c>
      <c r="B37" s="3">
        <v>356</v>
      </c>
      <c r="C37" s="5" t="s">
        <v>12</v>
      </c>
      <c r="D37" s="6">
        <f t="shared" si="0"/>
        <v>0.35599999999999998</v>
      </c>
      <c r="F37" s="1" t="s">
        <v>366</v>
      </c>
      <c r="G37" s="1">
        <v>8</v>
      </c>
      <c r="H37" s="1" t="s">
        <v>22</v>
      </c>
      <c r="I37" s="1">
        <v>0.27900000000000003</v>
      </c>
      <c r="J37" s="17">
        <f t="shared" si="31"/>
        <v>2.2320000000000002</v>
      </c>
      <c r="L37" s="1" t="s">
        <v>53</v>
      </c>
      <c r="M37" s="1">
        <v>0.7</v>
      </c>
      <c r="N37" s="1" t="s">
        <v>22</v>
      </c>
      <c r="O37" s="1">
        <v>0.51200000000000001</v>
      </c>
      <c r="P37" s="17">
        <f t="shared" si="32"/>
        <v>0.3584</v>
      </c>
      <c r="R37" s="1" t="s">
        <v>317</v>
      </c>
      <c r="S37" s="1">
        <v>12</v>
      </c>
      <c r="T37" s="1" t="s">
        <v>22</v>
      </c>
      <c r="U37" s="1">
        <v>0.11663</v>
      </c>
      <c r="V37" s="17">
        <f t="shared" si="35"/>
        <v>1.3995599999999999</v>
      </c>
      <c r="X37" s="1" t="s">
        <v>195</v>
      </c>
      <c r="Y37" s="1">
        <v>8</v>
      </c>
      <c r="Z37" s="1" t="s">
        <v>22</v>
      </c>
      <c r="AA37" s="1">
        <v>7.0000000000000007E-2</v>
      </c>
      <c r="AB37" s="17">
        <f t="shared" si="33"/>
        <v>0.56000000000000005</v>
      </c>
      <c r="AD37" s="1" t="s">
        <v>95</v>
      </c>
      <c r="AE37" s="1">
        <v>0.2</v>
      </c>
      <c r="AF37" s="1" t="s">
        <v>22</v>
      </c>
      <c r="AG37" s="1">
        <v>7.0000000000000007E-2</v>
      </c>
      <c r="AH37" s="17">
        <f t="shared" si="34"/>
        <v>1.4000000000000002E-2</v>
      </c>
    </row>
    <row r="38" spans="1:34" x14ac:dyDescent="0.2">
      <c r="A38" s="2" t="s">
        <v>36</v>
      </c>
      <c r="B38" s="3">
        <v>329</v>
      </c>
      <c r="C38" s="5" t="s">
        <v>12</v>
      </c>
      <c r="D38" s="6">
        <f t="shared" si="0"/>
        <v>0.32900000000000001</v>
      </c>
      <c r="F38" s="1" t="s">
        <v>53</v>
      </c>
      <c r="G38" s="1">
        <v>0.7</v>
      </c>
      <c r="H38" s="1" t="s">
        <v>22</v>
      </c>
      <c r="I38" s="1">
        <v>0.51200000000000001</v>
      </c>
      <c r="J38" s="17">
        <f t="shared" si="31"/>
        <v>0.3584</v>
      </c>
      <c r="L38" s="1" t="s">
        <v>41</v>
      </c>
      <c r="M38" s="1"/>
      <c r="N38" s="1"/>
      <c r="O38" s="1"/>
      <c r="P38" s="21">
        <f>SUM(P34:P37)</f>
        <v>7.2189599999999992</v>
      </c>
      <c r="R38" s="1" t="s">
        <v>53</v>
      </c>
      <c r="S38" s="1">
        <v>0.7</v>
      </c>
      <c r="T38" s="1" t="s">
        <v>22</v>
      </c>
      <c r="U38" s="1">
        <v>0.51200000000000001</v>
      </c>
      <c r="V38" s="17">
        <f t="shared" si="35"/>
        <v>0.3584</v>
      </c>
      <c r="X38" s="1" t="s">
        <v>53</v>
      </c>
      <c r="Y38" s="1">
        <v>0.7</v>
      </c>
      <c r="Z38" s="1" t="s">
        <v>22</v>
      </c>
      <c r="AA38" s="1">
        <v>0.51200000000000001</v>
      </c>
      <c r="AB38" s="17">
        <f t="shared" si="33"/>
        <v>0.3584</v>
      </c>
      <c r="AD38" s="1" t="s">
        <v>367</v>
      </c>
      <c r="AE38" s="1">
        <v>1</v>
      </c>
      <c r="AF38" s="1" t="s">
        <v>22</v>
      </c>
      <c r="AG38" s="1">
        <v>0.55000000000000004</v>
      </c>
      <c r="AH38" s="17">
        <f t="shared" si="34"/>
        <v>0.55000000000000004</v>
      </c>
    </row>
    <row r="39" spans="1:34" x14ac:dyDescent="0.2">
      <c r="A39" s="2" t="s">
        <v>111</v>
      </c>
      <c r="B39" s="3">
        <v>329.8</v>
      </c>
      <c r="C39" s="5" t="s">
        <v>12</v>
      </c>
      <c r="D39" s="6">
        <f t="shared" si="0"/>
        <v>0.32980000000000004</v>
      </c>
      <c r="F39" s="1" t="s">
        <v>41</v>
      </c>
      <c r="G39" s="1"/>
      <c r="H39" s="1"/>
      <c r="I39" s="1"/>
      <c r="J39" s="21">
        <f>SUM(J34:J38)</f>
        <v>9.2408800000000006</v>
      </c>
      <c r="R39" s="1" t="s">
        <v>41</v>
      </c>
      <c r="S39" s="1"/>
      <c r="T39" s="1"/>
      <c r="U39" s="1"/>
      <c r="V39" s="21">
        <f>SUM(V35:V38)</f>
        <v>6.99376</v>
      </c>
      <c r="X39" s="1" t="s">
        <v>41</v>
      </c>
      <c r="Y39" s="1"/>
      <c r="Z39" s="1"/>
      <c r="AA39" s="1"/>
      <c r="AB39" s="21">
        <f>SUM(AB34:AB38)</f>
        <v>7.59572</v>
      </c>
      <c r="AD39" s="1" t="s">
        <v>53</v>
      </c>
      <c r="AE39" s="1">
        <v>0.7</v>
      </c>
      <c r="AF39" s="1" t="s">
        <v>22</v>
      </c>
      <c r="AG39" s="1">
        <v>0.51200000000000001</v>
      </c>
      <c r="AH39" s="17">
        <f t="shared" si="34"/>
        <v>0.3584</v>
      </c>
    </row>
    <row r="40" spans="1:34" x14ac:dyDescent="0.2">
      <c r="A40" s="1" t="s">
        <v>113</v>
      </c>
      <c r="B40" s="3">
        <v>445.5</v>
      </c>
      <c r="C40" s="5" t="s">
        <v>12</v>
      </c>
      <c r="D40" s="6">
        <f t="shared" si="0"/>
        <v>0.44550000000000001</v>
      </c>
      <c r="L40" s="75" t="s">
        <v>368</v>
      </c>
      <c r="M40" s="76"/>
      <c r="N40" s="76"/>
      <c r="O40" s="76"/>
      <c r="P40" s="77"/>
      <c r="AD40" s="1" t="s">
        <v>41</v>
      </c>
      <c r="AE40" s="1"/>
      <c r="AF40" s="1"/>
      <c r="AG40" s="1"/>
      <c r="AH40" s="21">
        <f>SUM(AH34:AH39)</f>
        <v>7.5997199999999996</v>
      </c>
    </row>
    <row r="41" spans="1:34" x14ac:dyDescent="0.2">
      <c r="A41" s="1" t="s">
        <v>115</v>
      </c>
      <c r="B41" s="3">
        <v>24.09</v>
      </c>
      <c r="C41" s="5" t="s">
        <v>12</v>
      </c>
      <c r="D41" s="6">
        <f t="shared" si="0"/>
        <v>2.409E-2</v>
      </c>
      <c r="F41" s="79" t="s">
        <v>369</v>
      </c>
      <c r="G41" s="80"/>
      <c r="H41" s="80"/>
      <c r="I41" s="80"/>
      <c r="J41" s="81"/>
      <c r="L41" s="1" t="s">
        <v>117</v>
      </c>
      <c r="M41" s="1">
        <v>25</v>
      </c>
      <c r="N41" s="1" t="s">
        <v>22</v>
      </c>
      <c r="O41" s="20">
        <v>9.2439999999999994E-2</v>
      </c>
      <c r="P41" s="17">
        <f>O41*M41</f>
        <v>2.3109999999999999</v>
      </c>
      <c r="R41" s="82" t="s">
        <v>370</v>
      </c>
      <c r="S41" s="83"/>
      <c r="T41" s="83"/>
      <c r="U41" s="83"/>
      <c r="V41" s="84"/>
      <c r="X41" s="142" t="s">
        <v>371</v>
      </c>
      <c r="Y41" s="143"/>
      <c r="Z41" s="143"/>
      <c r="AA41" s="143"/>
      <c r="AB41" s="144"/>
    </row>
    <row r="42" spans="1:34" x14ac:dyDescent="0.2">
      <c r="A42" s="1" t="s">
        <v>120</v>
      </c>
      <c r="B42" s="3">
        <v>41.4</v>
      </c>
      <c r="C42" s="5" t="s">
        <v>12</v>
      </c>
      <c r="D42" s="6">
        <f t="shared" si="0"/>
        <v>4.1399999999999999E-2</v>
      </c>
      <c r="F42" s="1" t="s">
        <v>117</v>
      </c>
      <c r="G42" s="1">
        <v>25</v>
      </c>
      <c r="H42" s="1" t="s">
        <v>22</v>
      </c>
      <c r="I42" s="20">
        <v>8.8400000000000006E-2</v>
      </c>
      <c r="J42" s="17">
        <f>I42*G42</f>
        <v>2.21</v>
      </c>
      <c r="L42" s="1" t="s">
        <v>121</v>
      </c>
      <c r="M42" s="1">
        <v>4</v>
      </c>
      <c r="N42" s="1" t="s">
        <v>22</v>
      </c>
      <c r="O42" s="1">
        <v>4.2599999999999999E-2</v>
      </c>
      <c r="P42" s="17">
        <f t="shared" ref="P42:P44" si="36">O42*M42</f>
        <v>0.1704</v>
      </c>
      <c r="R42" s="1" t="s">
        <v>117</v>
      </c>
      <c r="S42" s="1">
        <v>25</v>
      </c>
      <c r="T42" s="1" t="s">
        <v>22</v>
      </c>
      <c r="U42" s="20">
        <v>8.8400000000000006E-2</v>
      </c>
      <c r="V42" s="17">
        <f>U42*S42</f>
        <v>2.21</v>
      </c>
      <c r="X42" s="1" t="s">
        <v>117</v>
      </c>
      <c r="Y42" s="1">
        <v>25</v>
      </c>
      <c r="Z42" s="1" t="s">
        <v>22</v>
      </c>
      <c r="AA42" s="20">
        <v>9.2439999999999994E-2</v>
      </c>
      <c r="AB42" s="17">
        <f>AA42*Y42</f>
        <v>2.3109999999999999</v>
      </c>
      <c r="AD42" s="89" t="s">
        <v>372</v>
      </c>
      <c r="AE42" s="90"/>
      <c r="AF42" s="90"/>
      <c r="AG42" s="90"/>
      <c r="AH42" s="91"/>
    </row>
    <row r="43" spans="1:34" x14ac:dyDescent="0.2">
      <c r="A43" s="1" t="s">
        <v>122</v>
      </c>
      <c r="B43" s="3">
        <v>63.2</v>
      </c>
      <c r="C43" s="5" t="s">
        <v>12</v>
      </c>
      <c r="D43" s="6">
        <f t="shared" si="0"/>
        <v>6.3200000000000006E-2</v>
      </c>
      <c r="F43" s="1" t="s">
        <v>121</v>
      </c>
      <c r="G43" s="1">
        <v>4</v>
      </c>
      <c r="H43" s="1" t="s">
        <v>22</v>
      </c>
      <c r="I43" s="1">
        <v>4.2599999999999999E-2</v>
      </c>
      <c r="J43" s="17">
        <f t="shared" ref="J43:J46" si="37">I43*G43</f>
        <v>0.1704</v>
      </c>
      <c r="L43" s="1" t="s">
        <v>373</v>
      </c>
      <c r="M43" s="1">
        <v>3</v>
      </c>
      <c r="N43" s="1" t="s">
        <v>22</v>
      </c>
      <c r="O43" s="1">
        <v>0.11788999999999999</v>
      </c>
      <c r="P43" s="17">
        <f t="shared" si="36"/>
        <v>0.35366999999999998</v>
      </c>
      <c r="R43" s="1" t="s">
        <v>121</v>
      </c>
      <c r="S43" s="1">
        <v>4</v>
      </c>
      <c r="T43" s="1" t="s">
        <v>22</v>
      </c>
      <c r="U43" s="1">
        <v>4.2599999999999999E-2</v>
      </c>
      <c r="V43" s="17">
        <f t="shared" ref="V43:V45" si="38">U43*S43</f>
        <v>0.1704</v>
      </c>
      <c r="X43" s="1" t="s">
        <v>121</v>
      </c>
      <c r="Y43" s="1">
        <v>4</v>
      </c>
      <c r="Z43" s="1" t="s">
        <v>22</v>
      </c>
      <c r="AA43" s="1">
        <v>4.2599999999999999E-2</v>
      </c>
      <c r="AB43" s="17">
        <f t="shared" ref="AB43:AB46" si="39">AA43*Y43</f>
        <v>0.1704</v>
      </c>
      <c r="AD43" s="1" t="s">
        <v>117</v>
      </c>
      <c r="AE43" s="1">
        <v>25</v>
      </c>
      <c r="AF43" s="1" t="s">
        <v>22</v>
      </c>
      <c r="AG43" s="20">
        <v>9.2439999999999994E-2</v>
      </c>
      <c r="AH43" s="17">
        <f>AG43*AE43</f>
        <v>2.3109999999999999</v>
      </c>
    </row>
    <row r="44" spans="1:34" x14ac:dyDescent="0.2">
      <c r="A44" s="1" t="s">
        <v>126</v>
      </c>
      <c r="B44" s="3">
        <v>173.49</v>
      </c>
      <c r="C44" s="5" t="s">
        <v>12</v>
      </c>
      <c r="D44" s="6">
        <f t="shared" si="0"/>
        <v>0.17349000000000001</v>
      </c>
      <c r="F44" s="1" t="s">
        <v>362</v>
      </c>
      <c r="G44" s="1">
        <v>3</v>
      </c>
      <c r="H44" s="1" t="s">
        <v>22</v>
      </c>
      <c r="I44" s="1">
        <v>0.11788999999999999</v>
      </c>
      <c r="J44" s="17">
        <f t="shared" si="37"/>
        <v>0.35366999999999998</v>
      </c>
      <c r="L44" s="1" t="s">
        <v>53</v>
      </c>
      <c r="M44" s="1">
        <v>0.4</v>
      </c>
      <c r="N44" s="1" t="s">
        <v>22</v>
      </c>
      <c r="O44" s="1">
        <v>0.51200000000000001</v>
      </c>
      <c r="P44" s="17">
        <f t="shared" si="36"/>
        <v>0.20480000000000001</v>
      </c>
      <c r="R44" s="1" t="s">
        <v>317</v>
      </c>
      <c r="S44" s="1">
        <v>3</v>
      </c>
      <c r="T44" s="1" t="s">
        <v>22</v>
      </c>
      <c r="U44" s="1">
        <v>0.11663</v>
      </c>
      <c r="V44" s="17">
        <f t="shared" si="38"/>
        <v>0.34988999999999998</v>
      </c>
      <c r="X44" s="1" t="s">
        <v>364</v>
      </c>
      <c r="Y44" s="1">
        <v>3</v>
      </c>
      <c r="Z44" s="1" t="s">
        <v>22</v>
      </c>
      <c r="AA44" s="1">
        <v>0.10262</v>
      </c>
      <c r="AB44" s="17">
        <f t="shared" si="39"/>
        <v>0.30786000000000002</v>
      </c>
      <c r="AD44" s="1" t="s">
        <v>121</v>
      </c>
      <c r="AE44" s="1">
        <v>4</v>
      </c>
      <c r="AF44" s="1" t="s">
        <v>22</v>
      </c>
      <c r="AG44" s="1">
        <v>4.2599999999999999E-2</v>
      </c>
      <c r="AH44" s="17">
        <f t="shared" ref="AH44:AH48" si="40">AG44*AE44</f>
        <v>0.1704</v>
      </c>
    </row>
    <row r="45" spans="1:34" x14ac:dyDescent="0.2">
      <c r="A45" s="1" t="s">
        <v>29</v>
      </c>
      <c r="B45" s="3">
        <v>81</v>
      </c>
      <c r="C45" s="5" t="s">
        <v>12</v>
      </c>
      <c r="D45" s="6">
        <f t="shared" si="0"/>
        <v>8.1000000000000003E-2</v>
      </c>
      <c r="F45" s="1" t="s">
        <v>366</v>
      </c>
      <c r="G45" s="1">
        <v>3</v>
      </c>
      <c r="H45" s="1" t="s">
        <v>22</v>
      </c>
      <c r="I45" s="1">
        <v>0.27900000000000003</v>
      </c>
      <c r="J45" s="17">
        <f t="shared" si="37"/>
        <v>0.83700000000000008</v>
      </c>
      <c r="L45" s="1" t="s">
        <v>41</v>
      </c>
      <c r="M45" s="1"/>
      <c r="N45" s="1"/>
      <c r="O45" s="1"/>
      <c r="P45" s="21">
        <f>SUM(P41:P44)</f>
        <v>3.0398700000000001</v>
      </c>
      <c r="R45" s="1" t="s">
        <v>53</v>
      </c>
      <c r="S45" s="1">
        <v>0.4</v>
      </c>
      <c r="T45" s="1" t="s">
        <v>22</v>
      </c>
      <c r="U45" s="1">
        <v>0.51200000000000001</v>
      </c>
      <c r="V45" s="17">
        <f t="shared" si="38"/>
        <v>0.20480000000000001</v>
      </c>
      <c r="X45" s="1" t="s">
        <v>195</v>
      </c>
      <c r="Y45" s="1">
        <v>3</v>
      </c>
      <c r="Z45" s="1" t="s">
        <v>22</v>
      </c>
      <c r="AA45" s="1">
        <v>7.0000000000000007E-2</v>
      </c>
      <c r="AB45" s="17">
        <f t="shared" si="39"/>
        <v>0.21000000000000002</v>
      </c>
      <c r="AD45" s="1" t="s">
        <v>365</v>
      </c>
      <c r="AE45" s="1">
        <v>3</v>
      </c>
      <c r="AF45" s="1" t="s">
        <v>22</v>
      </c>
      <c r="AG45" s="1">
        <v>0.10262</v>
      </c>
      <c r="AH45" s="17">
        <f t="shared" si="40"/>
        <v>0.30786000000000002</v>
      </c>
    </row>
    <row r="46" spans="1:34" x14ac:dyDescent="0.2">
      <c r="A46" s="1" t="s">
        <v>90</v>
      </c>
      <c r="B46" s="3">
        <v>930</v>
      </c>
      <c r="C46" s="5" t="s">
        <v>12</v>
      </c>
      <c r="D46" s="6">
        <f t="shared" si="0"/>
        <v>0.93</v>
      </c>
      <c r="F46" s="1" t="s">
        <v>53</v>
      </c>
      <c r="G46" s="1">
        <v>0.4</v>
      </c>
      <c r="H46" s="1" t="s">
        <v>22</v>
      </c>
      <c r="I46" s="1">
        <v>0.51200000000000001</v>
      </c>
      <c r="J46" s="17">
        <f t="shared" si="37"/>
        <v>0.20480000000000001</v>
      </c>
      <c r="R46" s="1" t="s">
        <v>41</v>
      </c>
      <c r="S46" s="1"/>
      <c r="T46" s="1"/>
      <c r="U46" s="1"/>
      <c r="V46" s="21">
        <f>SUM(V42:V45)</f>
        <v>2.9350899999999998</v>
      </c>
      <c r="X46" s="1" t="s">
        <v>53</v>
      </c>
      <c r="Y46" s="1">
        <v>0.4</v>
      </c>
      <c r="Z46" s="1" t="s">
        <v>22</v>
      </c>
      <c r="AA46" s="1">
        <v>0.51200000000000001</v>
      </c>
      <c r="AB46" s="17">
        <f t="shared" si="39"/>
        <v>0.20480000000000001</v>
      </c>
      <c r="AD46" s="1" t="s">
        <v>367</v>
      </c>
      <c r="AE46" s="1">
        <v>0.2</v>
      </c>
      <c r="AF46" s="1" t="s">
        <v>22</v>
      </c>
      <c r="AG46" s="1">
        <v>0.55000000000000004</v>
      </c>
      <c r="AH46" s="17">
        <f t="shared" si="40"/>
        <v>0.11000000000000001</v>
      </c>
    </row>
    <row r="47" spans="1:34" x14ac:dyDescent="0.2">
      <c r="A47" s="1" t="s">
        <v>130</v>
      </c>
      <c r="B47" s="3">
        <v>750</v>
      </c>
      <c r="C47" s="5" t="s">
        <v>12</v>
      </c>
      <c r="D47" s="6">
        <f t="shared" si="0"/>
        <v>0.75</v>
      </c>
      <c r="F47" s="1" t="s">
        <v>41</v>
      </c>
      <c r="G47" s="1"/>
      <c r="H47" s="1"/>
      <c r="I47" s="1"/>
      <c r="J47" s="21">
        <f>SUM(J42:J46)</f>
        <v>3.7758700000000003</v>
      </c>
      <c r="L47" s="62" t="s">
        <v>127</v>
      </c>
      <c r="M47" s="62"/>
      <c r="N47" s="62"/>
      <c r="O47" s="62"/>
      <c r="P47" s="62"/>
      <c r="X47" s="1" t="s">
        <v>41</v>
      </c>
      <c r="Y47" s="1"/>
      <c r="Z47" s="1"/>
      <c r="AA47" s="1"/>
      <c r="AB47" s="21">
        <f>SUM(AB42:AB46)</f>
        <v>3.2040599999999997</v>
      </c>
      <c r="AD47" s="1" t="s">
        <v>95</v>
      </c>
      <c r="AE47" s="1">
        <v>0.05</v>
      </c>
      <c r="AF47" s="1" t="s">
        <v>22</v>
      </c>
      <c r="AG47" s="1">
        <v>7.0000000000000007E-2</v>
      </c>
      <c r="AH47" s="17">
        <f t="shared" si="40"/>
        <v>3.5000000000000005E-3</v>
      </c>
    </row>
    <row r="48" spans="1:34" x14ac:dyDescent="0.2">
      <c r="A48" s="1" t="s">
        <v>135</v>
      </c>
      <c r="B48" s="3">
        <v>1224</v>
      </c>
      <c r="C48" s="5" t="s">
        <v>12</v>
      </c>
      <c r="D48" s="6">
        <f t="shared" si="0"/>
        <v>1.224</v>
      </c>
      <c r="L48" s="1" t="s">
        <v>681</v>
      </c>
      <c r="M48" s="1">
        <v>450</v>
      </c>
      <c r="N48" s="1" t="s">
        <v>129</v>
      </c>
      <c r="O48" s="55" t="s">
        <v>566</v>
      </c>
      <c r="P48" s="56"/>
      <c r="R48" s="85" t="s">
        <v>127</v>
      </c>
      <c r="S48" s="85"/>
      <c r="T48" s="85"/>
      <c r="U48" s="85"/>
      <c r="V48" s="85"/>
      <c r="AD48" s="1" t="s">
        <v>53</v>
      </c>
      <c r="AE48" s="1">
        <v>0.4</v>
      </c>
      <c r="AF48" s="1" t="s">
        <v>22</v>
      </c>
      <c r="AG48" s="1">
        <v>0.51200000000000001</v>
      </c>
      <c r="AH48" s="17">
        <f t="shared" si="40"/>
        <v>0.20480000000000001</v>
      </c>
    </row>
    <row r="49" spans="1:34" x14ac:dyDescent="0.2">
      <c r="A49" s="1" t="s">
        <v>140</v>
      </c>
      <c r="B49" s="3">
        <v>760</v>
      </c>
      <c r="C49" s="5" t="s">
        <v>12</v>
      </c>
      <c r="D49" s="6">
        <f t="shared" si="0"/>
        <v>0.76</v>
      </c>
      <c r="F49" s="100" t="s">
        <v>127</v>
      </c>
      <c r="G49" s="100"/>
      <c r="H49" s="100"/>
      <c r="I49" s="100"/>
      <c r="J49" s="100"/>
      <c r="L49" s="1" t="s">
        <v>354</v>
      </c>
      <c r="M49" s="1">
        <v>30</v>
      </c>
      <c r="N49" s="1" t="s">
        <v>129</v>
      </c>
      <c r="O49" s="55" t="s">
        <v>139</v>
      </c>
      <c r="P49" s="56"/>
      <c r="R49" s="1" t="s">
        <v>681</v>
      </c>
      <c r="S49" s="1">
        <v>450</v>
      </c>
      <c r="T49" s="1" t="s">
        <v>129</v>
      </c>
      <c r="U49" s="55" t="s">
        <v>566</v>
      </c>
      <c r="V49" s="56"/>
      <c r="X49" s="184" t="s">
        <v>127</v>
      </c>
      <c r="Y49" s="184"/>
      <c r="Z49" s="184"/>
      <c r="AA49" s="184"/>
      <c r="AB49" s="184"/>
      <c r="AD49" s="1" t="s">
        <v>41</v>
      </c>
      <c r="AE49" s="1"/>
      <c r="AF49" s="1"/>
      <c r="AG49" s="1"/>
      <c r="AH49" s="21">
        <f>SUM(AH43:AH48)</f>
        <v>3.1075599999999994</v>
      </c>
    </row>
    <row r="50" spans="1:34" x14ac:dyDescent="0.2">
      <c r="A50" s="1" t="s">
        <v>44</v>
      </c>
      <c r="B50" s="3">
        <v>658</v>
      </c>
      <c r="C50" s="5" t="s">
        <v>12</v>
      </c>
      <c r="D50" s="6">
        <f t="shared" si="0"/>
        <v>0.65800000000000003</v>
      </c>
      <c r="F50" s="1" t="s">
        <v>681</v>
      </c>
      <c r="G50" s="1">
        <v>450</v>
      </c>
      <c r="H50" s="1" t="s">
        <v>129</v>
      </c>
      <c r="I50" s="55" t="s">
        <v>566</v>
      </c>
      <c r="J50" s="56"/>
      <c r="L50" s="1" t="s">
        <v>534</v>
      </c>
      <c r="M50" s="1">
        <v>135</v>
      </c>
      <c r="N50" s="1" t="s">
        <v>129</v>
      </c>
      <c r="O50" s="55" t="s">
        <v>559</v>
      </c>
      <c r="P50" s="56"/>
      <c r="R50" s="1" t="s">
        <v>296</v>
      </c>
      <c r="S50" s="1">
        <v>30</v>
      </c>
      <c r="T50" s="1" t="s">
        <v>129</v>
      </c>
      <c r="U50" s="55" t="s">
        <v>322</v>
      </c>
      <c r="V50" s="56"/>
      <c r="X50" s="1" t="s">
        <v>681</v>
      </c>
      <c r="Y50" s="1">
        <v>450</v>
      </c>
      <c r="Z50" s="1" t="s">
        <v>129</v>
      </c>
      <c r="AA50" s="55" t="s">
        <v>566</v>
      </c>
      <c r="AB50" s="56"/>
    </row>
    <row r="51" spans="1:34" x14ac:dyDescent="0.2">
      <c r="A51" s="1" t="s">
        <v>145</v>
      </c>
      <c r="B51" s="3">
        <v>836</v>
      </c>
      <c r="C51" s="5" t="s">
        <v>12</v>
      </c>
      <c r="D51" s="6">
        <f t="shared" si="0"/>
        <v>0.83599999999999997</v>
      </c>
      <c r="F51" s="1" t="s">
        <v>362</v>
      </c>
      <c r="G51" s="1">
        <v>30</v>
      </c>
      <c r="H51" s="1" t="s">
        <v>129</v>
      </c>
      <c r="I51" s="55" t="s">
        <v>139</v>
      </c>
      <c r="J51" s="56"/>
      <c r="L51" s="1" t="s">
        <v>535</v>
      </c>
      <c r="M51" s="1">
        <v>15</v>
      </c>
      <c r="N51" s="1" t="s">
        <v>129</v>
      </c>
      <c r="O51" s="55"/>
      <c r="P51" s="56"/>
      <c r="R51" s="1" t="s">
        <v>534</v>
      </c>
      <c r="S51" s="1">
        <v>135</v>
      </c>
      <c r="T51" s="1" t="s">
        <v>129</v>
      </c>
      <c r="U51" s="55" t="s">
        <v>559</v>
      </c>
      <c r="V51" s="56"/>
      <c r="X51" s="1" t="s">
        <v>786</v>
      </c>
      <c r="Y51" s="1">
        <v>30</v>
      </c>
      <c r="Z51" s="1" t="s">
        <v>129</v>
      </c>
      <c r="AA51" s="55" t="s">
        <v>322</v>
      </c>
      <c r="AB51" s="56"/>
      <c r="AD51" s="63" t="s">
        <v>127</v>
      </c>
      <c r="AE51" s="63"/>
      <c r="AF51" s="63"/>
      <c r="AG51" s="63"/>
      <c r="AH51" s="63"/>
    </row>
    <row r="52" spans="1:34" x14ac:dyDescent="0.2">
      <c r="A52" s="1" t="s">
        <v>88</v>
      </c>
      <c r="B52" s="3">
        <v>350.4</v>
      </c>
      <c r="C52" s="5" t="s">
        <v>12</v>
      </c>
      <c r="D52" s="6">
        <f t="shared" si="0"/>
        <v>0.35039999999999999</v>
      </c>
      <c r="F52" s="1" t="s">
        <v>534</v>
      </c>
      <c r="G52" s="1">
        <v>135</v>
      </c>
      <c r="H52" s="1" t="s">
        <v>129</v>
      </c>
      <c r="I52" s="55" t="s">
        <v>559</v>
      </c>
      <c r="J52" s="56"/>
      <c r="L52" s="1" t="s">
        <v>536</v>
      </c>
      <c r="M52" s="1">
        <v>120</v>
      </c>
      <c r="N52" s="1" t="s">
        <v>129</v>
      </c>
      <c r="O52" s="55" t="s">
        <v>566</v>
      </c>
      <c r="P52" s="56"/>
      <c r="R52" s="1" t="s">
        <v>535</v>
      </c>
      <c r="S52" s="1">
        <v>15</v>
      </c>
      <c r="T52" s="1" t="s">
        <v>129</v>
      </c>
      <c r="U52" s="55"/>
      <c r="V52" s="56"/>
      <c r="X52" s="1" t="s">
        <v>534</v>
      </c>
      <c r="Y52" s="1">
        <v>135</v>
      </c>
      <c r="Z52" s="1" t="s">
        <v>129</v>
      </c>
      <c r="AA52" s="55" t="s">
        <v>559</v>
      </c>
      <c r="AB52" s="56"/>
      <c r="AD52" s="1" t="s">
        <v>681</v>
      </c>
      <c r="AE52" s="1">
        <v>450</v>
      </c>
      <c r="AF52" s="1" t="s">
        <v>129</v>
      </c>
      <c r="AG52" s="55" t="s">
        <v>566</v>
      </c>
      <c r="AH52" s="56"/>
    </row>
    <row r="53" spans="1:34" x14ac:dyDescent="0.2">
      <c r="A53" s="1" t="s">
        <v>148</v>
      </c>
      <c r="B53" s="3">
        <v>48.8</v>
      </c>
      <c r="C53" s="5" t="s">
        <v>12</v>
      </c>
      <c r="D53" s="6">
        <f t="shared" si="0"/>
        <v>4.8799999999999996E-2</v>
      </c>
      <c r="F53" s="1" t="s">
        <v>535</v>
      </c>
      <c r="G53" s="1">
        <v>15</v>
      </c>
      <c r="H53" s="1" t="s">
        <v>129</v>
      </c>
      <c r="I53" s="55"/>
      <c r="J53" s="56"/>
      <c r="L53" s="1" t="s">
        <v>565</v>
      </c>
      <c r="M53" s="1">
        <v>83</v>
      </c>
      <c r="N53" s="1" t="s">
        <v>129</v>
      </c>
      <c r="O53" s="55" t="s">
        <v>566</v>
      </c>
      <c r="P53" s="56"/>
      <c r="R53" s="1" t="s">
        <v>536</v>
      </c>
      <c r="S53" s="1">
        <v>120</v>
      </c>
      <c r="T53" s="1" t="s">
        <v>129</v>
      </c>
      <c r="U53" s="55" t="s">
        <v>566</v>
      </c>
      <c r="V53" s="56"/>
      <c r="X53" s="1" t="s">
        <v>535</v>
      </c>
      <c r="Y53" s="1">
        <v>15</v>
      </c>
      <c r="Z53" s="1" t="s">
        <v>129</v>
      </c>
      <c r="AA53" s="55"/>
      <c r="AB53" s="56"/>
      <c r="AD53" s="1" t="s">
        <v>356</v>
      </c>
      <c r="AE53" s="1">
        <v>30</v>
      </c>
      <c r="AF53" s="1" t="s">
        <v>129</v>
      </c>
      <c r="AG53" s="55" t="s">
        <v>322</v>
      </c>
      <c r="AH53" s="56"/>
    </row>
    <row r="54" spans="1:34" x14ac:dyDescent="0.2">
      <c r="A54" s="1" t="s">
        <v>150</v>
      </c>
      <c r="B54" s="3">
        <v>85</v>
      </c>
      <c r="C54" s="5" t="s">
        <v>12</v>
      </c>
      <c r="D54" s="6">
        <f t="shared" si="0"/>
        <v>8.5000000000000006E-2</v>
      </c>
      <c r="F54" s="1" t="s">
        <v>536</v>
      </c>
      <c r="G54" s="1">
        <v>120</v>
      </c>
      <c r="H54" s="1" t="s">
        <v>129</v>
      </c>
      <c r="I54" s="55" t="s">
        <v>566</v>
      </c>
      <c r="J54" s="56"/>
      <c r="L54" s="1" t="s">
        <v>121</v>
      </c>
      <c r="M54" s="1">
        <v>60</v>
      </c>
      <c r="N54" s="1" t="s">
        <v>129</v>
      </c>
      <c r="O54" s="55" t="s">
        <v>664</v>
      </c>
      <c r="P54" s="56"/>
      <c r="R54" s="1" t="s">
        <v>565</v>
      </c>
      <c r="S54" s="1">
        <v>83</v>
      </c>
      <c r="T54" s="1" t="s">
        <v>129</v>
      </c>
      <c r="U54" s="55" t="s">
        <v>566</v>
      </c>
      <c r="V54" s="56"/>
      <c r="X54" s="1" t="s">
        <v>536</v>
      </c>
      <c r="Y54" s="1">
        <v>120</v>
      </c>
      <c r="Z54" s="1" t="s">
        <v>129</v>
      </c>
      <c r="AA54" s="55" t="s">
        <v>566</v>
      </c>
      <c r="AB54" s="56"/>
      <c r="AD54" s="1" t="s">
        <v>534</v>
      </c>
      <c r="AE54" s="1">
        <v>135</v>
      </c>
      <c r="AF54" s="1" t="s">
        <v>129</v>
      </c>
      <c r="AG54" s="55" t="s">
        <v>559</v>
      </c>
      <c r="AH54" s="56"/>
    </row>
    <row r="55" spans="1:34" x14ac:dyDescent="0.2">
      <c r="A55" s="1" t="s">
        <v>153</v>
      </c>
      <c r="B55" s="3">
        <v>144</v>
      </c>
      <c r="C55" s="5" t="s">
        <v>12</v>
      </c>
      <c r="D55" s="6">
        <f t="shared" si="0"/>
        <v>0.14399999999999999</v>
      </c>
      <c r="F55" s="1" t="s">
        <v>565</v>
      </c>
      <c r="G55" s="1">
        <v>83</v>
      </c>
      <c r="H55" s="1" t="s">
        <v>129</v>
      </c>
      <c r="I55" s="55" t="s">
        <v>566</v>
      </c>
      <c r="J55" s="56"/>
      <c r="L55" s="1" t="s">
        <v>666</v>
      </c>
      <c r="M55" s="1">
        <v>20</v>
      </c>
      <c r="N55" s="1" t="s">
        <v>129</v>
      </c>
      <c r="O55" s="55" t="s">
        <v>665</v>
      </c>
      <c r="P55" s="56"/>
      <c r="R55" s="1" t="s">
        <v>121</v>
      </c>
      <c r="S55" s="1">
        <v>60</v>
      </c>
      <c r="T55" s="1" t="s">
        <v>129</v>
      </c>
      <c r="U55" s="55" t="s">
        <v>664</v>
      </c>
      <c r="V55" s="56"/>
      <c r="X55" s="1" t="s">
        <v>565</v>
      </c>
      <c r="Y55" s="1">
        <v>83</v>
      </c>
      <c r="Z55" s="1" t="s">
        <v>129</v>
      </c>
      <c r="AA55" s="55" t="s">
        <v>566</v>
      </c>
      <c r="AB55" s="56"/>
      <c r="AD55" s="1" t="s">
        <v>535</v>
      </c>
      <c r="AE55" s="1">
        <v>15</v>
      </c>
      <c r="AF55" s="1" t="s">
        <v>129</v>
      </c>
      <c r="AG55" s="55"/>
      <c r="AH55" s="56"/>
    </row>
    <row r="56" spans="1:34" x14ac:dyDescent="0.2">
      <c r="A56" s="1" t="s">
        <v>155</v>
      </c>
      <c r="B56" s="3">
        <v>157.44</v>
      </c>
      <c r="C56" s="5" t="s">
        <v>12</v>
      </c>
      <c r="D56" s="6">
        <f t="shared" si="0"/>
        <v>0.15744</v>
      </c>
      <c r="F56" s="1" t="s">
        <v>121</v>
      </c>
      <c r="G56" s="1">
        <v>60</v>
      </c>
      <c r="H56" s="1" t="s">
        <v>129</v>
      </c>
      <c r="I56" s="55" t="s">
        <v>664</v>
      </c>
      <c r="J56" s="56"/>
      <c r="L56" s="49" t="s">
        <v>41</v>
      </c>
      <c r="M56" s="49">
        <f>SUM(M48:M55)</f>
        <v>913</v>
      </c>
      <c r="N56" s="49" t="s">
        <v>129</v>
      </c>
      <c r="O56" s="139">
        <v>896</v>
      </c>
      <c r="P56" s="140"/>
      <c r="R56" s="1" t="s">
        <v>666</v>
      </c>
      <c r="S56" s="1">
        <v>20</v>
      </c>
      <c r="T56" s="1" t="s">
        <v>129</v>
      </c>
      <c r="U56" s="55" t="s">
        <v>665</v>
      </c>
      <c r="V56" s="56"/>
      <c r="X56" s="1" t="s">
        <v>121</v>
      </c>
      <c r="Y56" s="1">
        <v>60</v>
      </c>
      <c r="Z56" s="1" t="s">
        <v>129</v>
      </c>
      <c r="AA56" s="55" t="s">
        <v>664</v>
      </c>
      <c r="AB56" s="56"/>
      <c r="AD56" s="1" t="s">
        <v>536</v>
      </c>
      <c r="AE56" s="1">
        <v>120</v>
      </c>
      <c r="AF56" s="1" t="s">
        <v>129</v>
      </c>
      <c r="AG56" s="55" t="s">
        <v>566</v>
      </c>
      <c r="AH56" s="56"/>
    </row>
    <row r="57" spans="1:34" x14ac:dyDescent="0.2">
      <c r="A57" s="1" t="s">
        <v>140</v>
      </c>
      <c r="B57" s="3">
        <v>812.8</v>
      </c>
      <c r="C57" s="5" t="s">
        <v>12</v>
      </c>
      <c r="D57" s="6">
        <f t="shared" si="0"/>
        <v>0.81279999999999997</v>
      </c>
      <c r="F57" s="1" t="s">
        <v>666</v>
      </c>
      <c r="G57" s="1">
        <v>20</v>
      </c>
      <c r="H57" s="1" t="s">
        <v>129</v>
      </c>
      <c r="I57" s="55" t="s">
        <v>665</v>
      </c>
      <c r="J57" s="56"/>
      <c r="L57" s="33" t="s">
        <v>240</v>
      </c>
      <c r="M57" s="35">
        <f>M56/O56</f>
        <v>1.0189732142857142</v>
      </c>
      <c r="N57" s="33" t="s">
        <v>129</v>
      </c>
      <c r="O57" s="57" t="s">
        <v>668</v>
      </c>
      <c r="P57" s="58"/>
      <c r="R57" s="49" t="s">
        <v>41</v>
      </c>
      <c r="S57" s="49">
        <f>SUM(S49:S56)</f>
        <v>913</v>
      </c>
      <c r="T57" s="49" t="s">
        <v>129</v>
      </c>
      <c r="U57" s="139">
        <v>896</v>
      </c>
      <c r="V57" s="140"/>
      <c r="X57" s="1" t="s">
        <v>666</v>
      </c>
      <c r="Y57" s="1">
        <v>20</v>
      </c>
      <c r="Z57" s="1" t="s">
        <v>129</v>
      </c>
      <c r="AA57" s="55" t="s">
        <v>665</v>
      </c>
      <c r="AB57" s="56"/>
      <c r="AD57" s="1" t="s">
        <v>565</v>
      </c>
      <c r="AE57" s="1">
        <v>83</v>
      </c>
      <c r="AF57" s="1" t="s">
        <v>129</v>
      </c>
      <c r="AG57" s="55" t="s">
        <v>566</v>
      </c>
      <c r="AH57" s="56"/>
    </row>
    <row r="58" spans="1:34" x14ac:dyDescent="0.2">
      <c r="A58" s="1" t="s">
        <v>74</v>
      </c>
      <c r="B58" s="3">
        <v>206.63</v>
      </c>
      <c r="C58" s="5" t="s">
        <v>12</v>
      </c>
      <c r="D58" s="6">
        <f t="shared" si="0"/>
        <v>0.20663000000000001</v>
      </c>
      <c r="F58" s="49" t="s">
        <v>41</v>
      </c>
      <c r="G58" s="49">
        <f>SUM(G50:G57)</f>
        <v>913</v>
      </c>
      <c r="H58" s="49" t="s">
        <v>129</v>
      </c>
      <c r="I58" s="139">
        <v>896</v>
      </c>
      <c r="J58" s="140"/>
      <c r="R58" s="33" t="s">
        <v>240</v>
      </c>
      <c r="S58" s="35">
        <f>S57/U57</f>
        <v>1.0189732142857142</v>
      </c>
      <c r="T58" s="33" t="s">
        <v>129</v>
      </c>
      <c r="U58" s="57" t="s">
        <v>668</v>
      </c>
      <c r="V58" s="58"/>
      <c r="X58" s="49" t="s">
        <v>41</v>
      </c>
      <c r="Y58" s="49">
        <f>SUM(Y50:Y57)</f>
        <v>913</v>
      </c>
      <c r="Z58" s="49" t="s">
        <v>129</v>
      </c>
      <c r="AA58" s="139">
        <v>896</v>
      </c>
      <c r="AB58" s="140"/>
      <c r="AD58" s="1" t="s">
        <v>121</v>
      </c>
      <c r="AE58" s="1">
        <v>60</v>
      </c>
      <c r="AF58" s="1" t="s">
        <v>129</v>
      </c>
      <c r="AG58" s="55" t="s">
        <v>664</v>
      </c>
      <c r="AH58" s="56"/>
    </row>
    <row r="59" spans="1:34" x14ac:dyDescent="0.2">
      <c r="A59" s="1" t="s">
        <v>161</v>
      </c>
      <c r="B59" s="3">
        <v>50</v>
      </c>
      <c r="C59" s="5" t="s">
        <v>12</v>
      </c>
      <c r="D59" s="6">
        <f t="shared" si="0"/>
        <v>0.05</v>
      </c>
      <c r="F59" s="33" t="s">
        <v>240</v>
      </c>
      <c r="G59" s="35">
        <f>G58/I58</f>
        <v>1.0189732142857142</v>
      </c>
      <c r="H59" s="33" t="s">
        <v>129</v>
      </c>
      <c r="I59" s="57" t="s">
        <v>668</v>
      </c>
      <c r="J59" s="58"/>
      <c r="L59" s="1" t="s">
        <v>503</v>
      </c>
      <c r="M59" s="1">
        <v>375</v>
      </c>
      <c r="N59" s="1" t="s">
        <v>494</v>
      </c>
      <c r="O59" s="1">
        <f>M59/60</f>
        <v>6.25</v>
      </c>
      <c r="P59" s="1" t="s">
        <v>129</v>
      </c>
      <c r="X59" s="33" t="s">
        <v>240</v>
      </c>
      <c r="Y59" s="35">
        <f>Y58/AA58</f>
        <v>1.0189732142857142</v>
      </c>
      <c r="Z59" s="33" t="s">
        <v>129</v>
      </c>
      <c r="AA59" s="57" t="s">
        <v>668</v>
      </c>
      <c r="AB59" s="58"/>
      <c r="AD59" s="1" t="s">
        <v>666</v>
      </c>
      <c r="AE59" s="1">
        <v>20</v>
      </c>
      <c r="AF59" s="1" t="s">
        <v>129</v>
      </c>
      <c r="AG59" s="55" t="s">
        <v>665</v>
      </c>
      <c r="AH59" s="56"/>
    </row>
    <row r="60" spans="1:34" x14ac:dyDescent="0.2">
      <c r="A60" s="1" t="s">
        <v>163</v>
      </c>
      <c r="B60" s="3">
        <v>75</v>
      </c>
      <c r="C60" s="5" t="s">
        <v>12</v>
      </c>
      <c r="D60" s="6">
        <f t="shared" si="0"/>
        <v>7.4999999999999997E-2</v>
      </c>
      <c r="R60" s="1" t="s">
        <v>503</v>
      </c>
      <c r="S60" s="1">
        <v>375</v>
      </c>
      <c r="T60" s="1" t="s">
        <v>494</v>
      </c>
      <c r="U60" s="1">
        <f>S60/60</f>
        <v>6.25</v>
      </c>
      <c r="V60" s="1" t="s">
        <v>129</v>
      </c>
      <c r="AD60" s="49" t="s">
        <v>41</v>
      </c>
      <c r="AE60" s="49">
        <f>SUM(AE52:AE59)</f>
        <v>913</v>
      </c>
      <c r="AF60" s="49" t="s">
        <v>129</v>
      </c>
      <c r="AG60" s="139">
        <v>896</v>
      </c>
      <c r="AH60" s="140"/>
    </row>
    <row r="61" spans="1:34" x14ac:dyDescent="0.2">
      <c r="A61" s="1" t="s">
        <v>164</v>
      </c>
      <c r="B61" s="3">
        <v>173.2</v>
      </c>
      <c r="C61" s="5" t="s">
        <v>12</v>
      </c>
      <c r="D61" s="6">
        <f t="shared" si="0"/>
        <v>0.17319999999999999</v>
      </c>
      <c r="F61" s="1" t="s">
        <v>503</v>
      </c>
      <c r="G61" s="1">
        <v>375</v>
      </c>
      <c r="H61" s="1" t="s">
        <v>494</v>
      </c>
      <c r="I61" s="1">
        <f>G61/60</f>
        <v>6.25</v>
      </c>
      <c r="J61" s="1" t="s">
        <v>129</v>
      </c>
      <c r="L61" s="75" t="s">
        <v>782</v>
      </c>
      <c r="M61" s="77"/>
      <c r="X61" s="1" t="s">
        <v>503</v>
      </c>
      <c r="Y61" s="1">
        <v>375</v>
      </c>
      <c r="Z61" s="1" t="s">
        <v>494</v>
      </c>
      <c r="AA61" s="1">
        <f>Y61/60</f>
        <v>6.25</v>
      </c>
      <c r="AB61" s="1" t="s">
        <v>129</v>
      </c>
      <c r="AD61" s="33" t="s">
        <v>240</v>
      </c>
      <c r="AE61" s="35">
        <f>AE60/AG60</f>
        <v>1.0189732142857142</v>
      </c>
      <c r="AF61" s="33" t="s">
        <v>129</v>
      </c>
      <c r="AG61" s="57" t="s">
        <v>668</v>
      </c>
      <c r="AH61" s="58"/>
    </row>
    <row r="62" spans="1:34" x14ac:dyDescent="0.2">
      <c r="A62" s="1" t="s">
        <v>137</v>
      </c>
      <c r="B62" s="3">
        <v>611</v>
      </c>
      <c r="C62" s="5" t="s">
        <v>12</v>
      </c>
      <c r="D62" s="6">
        <f t="shared" si="0"/>
        <v>0.61099999999999999</v>
      </c>
      <c r="L62" s="43" t="s">
        <v>415</v>
      </c>
      <c r="M62" s="43">
        <f>P38</f>
        <v>7.2189599999999992</v>
      </c>
      <c r="R62" s="82" t="s">
        <v>784</v>
      </c>
      <c r="S62" s="84"/>
    </row>
    <row r="63" spans="1:34" x14ac:dyDescent="0.2">
      <c r="A63" s="1" t="s">
        <v>63</v>
      </c>
      <c r="B63" s="3">
        <v>454</v>
      </c>
      <c r="C63" s="5" t="s">
        <v>12</v>
      </c>
      <c r="D63" s="6">
        <f t="shared" si="0"/>
        <v>0.45400000000000001</v>
      </c>
      <c r="F63" s="79" t="s">
        <v>707</v>
      </c>
      <c r="G63" s="81"/>
      <c r="L63" s="1" t="s">
        <v>496</v>
      </c>
      <c r="M63" s="1">
        <f>M57*O59</f>
        <v>6.3685825892857135</v>
      </c>
      <c r="R63" s="43" t="s">
        <v>415</v>
      </c>
      <c r="S63" s="43">
        <f>V39</f>
        <v>6.99376</v>
      </c>
      <c r="X63" s="185" t="s">
        <v>787</v>
      </c>
      <c r="Y63" s="186"/>
      <c r="AD63" s="1" t="s">
        <v>503</v>
      </c>
      <c r="AE63" s="1">
        <v>375</v>
      </c>
      <c r="AF63" s="1" t="s">
        <v>494</v>
      </c>
      <c r="AG63" s="1">
        <f>AE63/60</f>
        <v>6.25</v>
      </c>
      <c r="AH63" s="1" t="s">
        <v>129</v>
      </c>
    </row>
    <row r="64" spans="1:34" x14ac:dyDescent="0.2">
      <c r="A64" s="1" t="s">
        <v>165</v>
      </c>
      <c r="B64" s="3">
        <v>224.8</v>
      </c>
      <c r="C64" s="5" t="s">
        <v>12</v>
      </c>
      <c r="D64" s="6">
        <f t="shared" si="0"/>
        <v>0.2248</v>
      </c>
      <c r="F64" s="43" t="s">
        <v>415</v>
      </c>
      <c r="G64" s="43">
        <f>J39</f>
        <v>9.2408800000000006</v>
      </c>
      <c r="L64" s="33" t="s">
        <v>680</v>
      </c>
      <c r="M64" s="21">
        <f>SUM(M62:M63)</f>
        <v>13.587542589285713</v>
      </c>
      <c r="R64" s="1" t="s">
        <v>496</v>
      </c>
      <c r="S64" s="1">
        <f>S58*U60</f>
        <v>6.3685825892857135</v>
      </c>
      <c r="X64" s="43" t="s">
        <v>415</v>
      </c>
      <c r="Y64" s="43">
        <f>AB39</f>
        <v>7.59572</v>
      </c>
    </row>
    <row r="65" spans="1:31" x14ac:dyDescent="0.2">
      <c r="A65" s="1" t="s">
        <v>168</v>
      </c>
      <c r="B65" s="3">
        <v>141.4</v>
      </c>
      <c r="C65" s="5" t="s">
        <v>12</v>
      </c>
      <c r="D65" s="6">
        <f t="shared" si="0"/>
        <v>0.1414</v>
      </c>
      <c r="F65" s="1" t="s">
        <v>496</v>
      </c>
      <c r="G65" s="1">
        <f>G59*I61</f>
        <v>6.3685825892857135</v>
      </c>
      <c r="R65" s="33" t="s">
        <v>680</v>
      </c>
      <c r="S65" s="21">
        <f>SUM(S63:S64)</f>
        <v>13.362342589285714</v>
      </c>
      <c r="X65" s="1" t="s">
        <v>496</v>
      </c>
      <c r="Y65" s="1">
        <f>Y59*AA61</f>
        <v>6.3685825892857135</v>
      </c>
      <c r="AD65" s="89" t="s">
        <v>789</v>
      </c>
      <c r="AE65" s="91"/>
    </row>
    <row r="66" spans="1:31" x14ac:dyDescent="0.2">
      <c r="A66" s="1" t="s">
        <v>169</v>
      </c>
      <c r="B66" s="3">
        <v>164</v>
      </c>
      <c r="C66" s="5" t="s">
        <v>12</v>
      </c>
      <c r="D66" s="6">
        <f t="shared" si="0"/>
        <v>0.16400000000000001</v>
      </c>
      <c r="F66" s="33" t="s">
        <v>680</v>
      </c>
      <c r="G66" s="21">
        <f>SUM(G64:G65)</f>
        <v>15.609462589285714</v>
      </c>
      <c r="L66" s="75" t="s">
        <v>783</v>
      </c>
      <c r="M66" s="77"/>
      <c r="X66" s="33" t="s">
        <v>680</v>
      </c>
      <c r="Y66" s="21">
        <f>SUM(Y64:Y65)</f>
        <v>13.964302589285714</v>
      </c>
      <c r="AD66" s="43" t="s">
        <v>415</v>
      </c>
      <c r="AE66" s="43">
        <f>AH40</f>
        <v>7.5997199999999996</v>
      </c>
    </row>
    <row r="67" spans="1:31" x14ac:dyDescent="0.2">
      <c r="A67" s="1" t="s">
        <v>171</v>
      </c>
      <c r="B67" s="3">
        <v>166.24</v>
      </c>
      <c r="C67" s="5" t="s">
        <v>12</v>
      </c>
      <c r="D67" s="6">
        <f t="shared" ref="D67:D107" si="41">B67/1000</f>
        <v>0.16624</v>
      </c>
      <c r="L67" s="43" t="s">
        <v>415</v>
      </c>
      <c r="M67" s="43">
        <f>P45</f>
        <v>3.0398700000000001</v>
      </c>
      <c r="R67" s="82" t="s">
        <v>785</v>
      </c>
      <c r="S67" s="84"/>
      <c r="AD67" s="1" t="s">
        <v>496</v>
      </c>
      <c r="AE67" s="1">
        <f>AE61*AG63</f>
        <v>6.3685825892857135</v>
      </c>
    </row>
    <row r="68" spans="1:31" x14ac:dyDescent="0.2">
      <c r="A68" s="1" t="s">
        <v>173</v>
      </c>
      <c r="B68" s="3">
        <v>168</v>
      </c>
      <c r="C68" s="5" t="s">
        <v>12</v>
      </c>
      <c r="D68" s="6">
        <f t="shared" si="41"/>
        <v>0.16800000000000001</v>
      </c>
      <c r="F68" s="79" t="s">
        <v>709</v>
      </c>
      <c r="G68" s="81"/>
      <c r="L68" s="1" t="s">
        <v>496</v>
      </c>
      <c r="M68" s="1">
        <f>M57*O59</f>
        <v>6.3685825892857135</v>
      </c>
      <c r="R68" s="43" t="s">
        <v>415</v>
      </c>
      <c r="S68" s="43">
        <f>V46</f>
        <v>2.9350899999999998</v>
      </c>
      <c r="X68" s="185" t="s">
        <v>788</v>
      </c>
      <c r="Y68" s="186"/>
      <c r="AD68" s="33" t="s">
        <v>680</v>
      </c>
      <c r="AE68" s="21">
        <f>SUM(AE66:AE67)</f>
        <v>13.968302589285713</v>
      </c>
    </row>
    <row r="69" spans="1:31" x14ac:dyDescent="0.2">
      <c r="A69" s="1" t="s">
        <v>174</v>
      </c>
      <c r="B69" s="3">
        <v>882</v>
      </c>
      <c r="C69" s="5" t="s">
        <v>12</v>
      </c>
      <c r="D69" s="6">
        <f t="shared" si="41"/>
        <v>0.88200000000000001</v>
      </c>
      <c r="F69" s="43" t="s">
        <v>415</v>
      </c>
      <c r="G69" s="43">
        <f>J47</f>
        <v>3.7758700000000003</v>
      </c>
      <c r="L69" s="33" t="s">
        <v>680</v>
      </c>
      <c r="M69" s="21">
        <f>SUM(M67:M68)</f>
        <v>9.408452589285714</v>
      </c>
      <c r="R69" s="1" t="s">
        <v>496</v>
      </c>
      <c r="S69" s="1">
        <f>S58*U60</f>
        <v>6.3685825892857135</v>
      </c>
      <c r="X69" s="43" t="s">
        <v>415</v>
      </c>
      <c r="Y69" s="43">
        <f>AB47</f>
        <v>3.2040599999999997</v>
      </c>
    </row>
    <row r="70" spans="1:31" x14ac:dyDescent="0.2">
      <c r="A70" s="1" t="s">
        <v>176</v>
      </c>
      <c r="B70" s="3">
        <v>828</v>
      </c>
      <c r="C70" s="5" t="s">
        <v>12</v>
      </c>
      <c r="D70" s="6">
        <f t="shared" si="41"/>
        <v>0.82799999999999996</v>
      </c>
      <c r="F70" s="1" t="s">
        <v>496</v>
      </c>
      <c r="G70" s="1">
        <f>G59*I61</f>
        <v>6.3685825892857135</v>
      </c>
      <c r="R70" s="33" t="s">
        <v>680</v>
      </c>
      <c r="S70" s="21">
        <f>SUM(S68:S69)</f>
        <v>9.3036725892857142</v>
      </c>
      <c r="X70" s="1" t="s">
        <v>496</v>
      </c>
      <c r="Y70" s="1">
        <f>Y59*AA61</f>
        <v>6.3685825892857135</v>
      </c>
      <c r="AD70" s="89" t="s">
        <v>768</v>
      </c>
      <c r="AE70" s="91"/>
    </row>
    <row r="71" spans="1:31" x14ac:dyDescent="0.2">
      <c r="A71" s="1" t="s">
        <v>179</v>
      </c>
      <c r="B71" s="3">
        <v>128</v>
      </c>
      <c r="C71" s="5" t="s">
        <v>12</v>
      </c>
      <c r="D71" s="6">
        <f t="shared" si="41"/>
        <v>0.128</v>
      </c>
      <c r="F71" s="33" t="s">
        <v>680</v>
      </c>
      <c r="G71" s="21">
        <f>SUM(G69:G70)</f>
        <v>10.144452589285713</v>
      </c>
      <c r="X71" s="33" t="s">
        <v>680</v>
      </c>
      <c r="Y71" s="21">
        <f>SUM(Y69:Y70)</f>
        <v>9.5726425892857137</v>
      </c>
      <c r="AD71" s="43" t="s">
        <v>415</v>
      </c>
      <c r="AE71" s="43">
        <f>AH49</f>
        <v>3.1075599999999994</v>
      </c>
    </row>
    <row r="72" spans="1:31" x14ac:dyDescent="0.2">
      <c r="A72" s="1" t="s">
        <v>181</v>
      </c>
      <c r="B72" s="4">
        <v>205.33</v>
      </c>
      <c r="C72" s="5" t="s">
        <v>12</v>
      </c>
      <c r="D72" s="6">
        <f t="shared" si="41"/>
        <v>0.20533000000000001</v>
      </c>
      <c r="AD72" s="1" t="s">
        <v>496</v>
      </c>
      <c r="AE72" s="1">
        <f>AE61*AG63</f>
        <v>6.3685825892857135</v>
      </c>
    </row>
    <row r="73" spans="1:31" x14ac:dyDescent="0.2">
      <c r="A73" s="1" t="s">
        <v>62</v>
      </c>
      <c r="B73" s="3">
        <v>114.66</v>
      </c>
      <c r="C73" s="5" t="s">
        <v>12</v>
      </c>
      <c r="D73" s="6">
        <f t="shared" si="41"/>
        <v>0.11466</v>
      </c>
      <c r="AD73" s="33" t="s">
        <v>680</v>
      </c>
      <c r="AE73" s="21">
        <f>SUM(AE71:AE72)</f>
        <v>9.476142589285713</v>
      </c>
    </row>
    <row r="74" spans="1:31" x14ac:dyDescent="0.2">
      <c r="A74" s="1" t="s">
        <v>86</v>
      </c>
      <c r="B74" s="3">
        <v>126</v>
      </c>
      <c r="C74" s="5" t="s">
        <v>12</v>
      </c>
      <c r="D74" s="6">
        <f t="shared" si="41"/>
        <v>0.126</v>
      </c>
    </row>
    <row r="75" spans="1:31" x14ac:dyDescent="0.2">
      <c r="A75" s="1" t="s">
        <v>183</v>
      </c>
      <c r="B75" s="3">
        <v>167</v>
      </c>
      <c r="C75" s="5" t="s">
        <v>12</v>
      </c>
      <c r="D75" s="6">
        <f t="shared" si="41"/>
        <v>0.16700000000000001</v>
      </c>
    </row>
    <row r="76" spans="1:31" x14ac:dyDescent="0.2">
      <c r="A76" s="1" t="s">
        <v>184</v>
      </c>
      <c r="B76" s="3">
        <v>133.6</v>
      </c>
      <c r="C76" s="5" t="s">
        <v>12</v>
      </c>
      <c r="D76" s="6">
        <f t="shared" si="41"/>
        <v>0.1336</v>
      </c>
    </row>
    <row r="77" spans="1:31" x14ac:dyDescent="0.2">
      <c r="A77" s="1" t="s">
        <v>186</v>
      </c>
      <c r="B77" s="3">
        <v>113.6</v>
      </c>
      <c r="C77" s="5" t="s">
        <v>12</v>
      </c>
      <c r="D77" s="6">
        <f t="shared" si="41"/>
        <v>0.11359999999999999</v>
      </c>
    </row>
    <row r="78" spans="1:31" x14ac:dyDescent="0.2">
      <c r="A78" s="1" t="s">
        <v>51</v>
      </c>
      <c r="B78" s="4">
        <v>91</v>
      </c>
      <c r="C78" s="5" t="s">
        <v>12</v>
      </c>
      <c r="D78" s="6">
        <f t="shared" si="41"/>
        <v>9.0999999999999998E-2</v>
      </c>
    </row>
    <row r="79" spans="1:31" x14ac:dyDescent="0.2">
      <c r="A79" s="1" t="s">
        <v>56</v>
      </c>
      <c r="B79" s="4">
        <v>105.6</v>
      </c>
      <c r="C79" s="5" t="s">
        <v>12</v>
      </c>
      <c r="D79" s="6">
        <f t="shared" si="41"/>
        <v>0.1056</v>
      </c>
    </row>
    <row r="80" spans="1:31" x14ac:dyDescent="0.2">
      <c r="A80" s="1" t="s">
        <v>188</v>
      </c>
      <c r="B80" s="4">
        <v>133</v>
      </c>
      <c r="C80" s="5" t="s">
        <v>12</v>
      </c>
      <c r="D80" s="6">
        <f t="shared" si="41"/>
        <v>0.13300000000000001</v>
      </c>
    </row>
    <row r="81" spans="1:4" x14ac:dyDescent="0.2">
      <c r="A81" s="1" t="s">
        <v>189</v>
      </c>
      <c r="B81" s="4">
        <v>147.6</v>
      </c>
      <c r="C81" s="5" t="s">
        <v>12</v>
      </c>
      <c r="D81" s="6">
        <f t="shared" si="41"/>
        <v>0.14759999999999998</v>
      </c>
    </row>
    <row r="82" spans="1:4" x14ac:dyDescent="0.2">
      <c r="A82" s="1" t="s">
        <v>190</v>
      </c>
      <c r="B82" s="4">
        <v>90</v>
      </c>
      <c r="C82" s="5" t="s">
        <v>12</v>
      </c>
      <c r="D82" s="6">
        <f t="shared" si="41"/>
        <v>0.09</v>
      </c>
    </row>
    <row r="83" spans="1:4" x14ac:dyDescent="0.2">
      <c r="A83" s="1" t="s">
        <v>191</v>
      </c>
      <c r="B83" s="4">
        <v>96</v>
      </c>
      <c r="C83" s="5" t="s">
        <v>12</v>
      </c>
      <c r="D83" s="6">
        <f t="shared" si="41"/>
        <v>9.6000000000000002E-2</v>
      </c>
    </row>
    <row r="84" spans="1:4" x14ac:dyDescent="0.2">
      <c r="A84" s="1" t="s">
        <v>192</v>
      </c>
      <c r="B84" s="3">
        <v>126.4</v>
      </c>
      <c r="C84" s="5" t="s">
        <v>12</v>
      </c>
      <c r="D84" s="6">
        <f t="shared" si="41"/>
        <v>0.12640000000000001</v>
      </c>
    </row>
    <row r="85" spans="1:4" x14ac:dyDescent="0.2">
      <c r="A85" s="1" t="s">
        <v>193</v>
      </c>
      <c r="B85" s="3">
        <v>119</v>
      </c>
      <c r="C85" s="5" t="s">
        <v>12</v>
      </c>
      <c r="D85" s="6">
        <f t="shared" si="41"/>
        <v>0.11899999999999999</v>
      </c>
    </row>
    <row r="86" spans="1:4" x14ac:dyDescent="0.2">
      <c r="A86" s="1" t="s">
        <v>194</v>
      </c>
      <c r="B86" s="3">
        <v>88</v>
      </c>
      <c r="C86" s="5" t="s">
        <v>12</v>
      </c>
      <c r="D86" s="6">
        <f t="shared" si="41"/>
        <v>8.7999999999999995E-2</v>
      </c>
    </row>
    <row r="87" spans="1:4" x14ac:dyDescent="0.2">
      <c r="A87" s="1" t="s">
        <v>195</v>
      </c>
      <c r="B87" s="3">
        <v>73</v>
      </c>
      <c r="C87" s="5" t="s">
        <v>12</v>
      </c>
      <c r="D87" s="6">
        <f t="shared" si="41"/>
        <v>7.2999999999999995E-2</v>
      </c>
    </row>
    <row r="88" spans="1:4" x14ac:dyDescent="0.2">
      <c r="A88" s="1" t="s">
        <v>92</v>
      </c>
      <c r="B88" s="3">
        <v>138</v>
      </c>
      <c r="C88" s="5" t="s">
        <v>12</v>
      </c>
      <c r="D88" s="6">
        <f t="shared" si="41"/>
        <v>0.13800000000000001</v>
      </c>
    </row>
    <row r="89" spans="1:4" x14ac:dyDescent="0.2">
      <c r="A89" s="1" t="s">
        <v>196</v>
      </c>
      <c r="B89" s="3">
        <v>77</v>
      </c>
      <c r="C89" s="5" t="s">
        <v>12</v>
      </c>
      <c r="D89" s="6">
        <f t="shared" si="41"/>
        <v>7.6999999999999999E-2</v>
      </c>
    </row>
    <row r="90" spans="1:4" x14ac:dyDescent="0.2">
      <c r="A90" s="1" t="s">
        <v>197</v>
      </c>
      <c r="B90" s="3">
        <v>109.2</v>
      </c>
      <c r="C90" s="5" t="s">
        <v>12</v>
      </c>
      <c r="D90" s="6">
        <f t="shared" si="41"/>
        <v>0.10920000000000001</v>
      </c>
    </row>
    <row r="91" spans="1:4" x14ac:dyDescent="0.2">
      <c r="A91" s="1" t="s">
        <v>198</v>
      </c>
      <c r="B91" s="3">
        <v>95</v>
      </c>
      <c r="C91" s="5" t="s">
        <v>12</v>
      </c>
      <c r="D91" s="6">
        <f t="shared" si="41"/>
        <v>9.5000000000000001E-2</v>
      </c>
    </row>
    <row r="92" spans="1:4" x14ac:dyDescent="0.2">
      <c r="A92" s="1" t="s">
        <v>84</v>
      </c>
      <c r="B92" s="3">
        <v>173</v>
      </c>
      <c r="C92" s="5" t="s">
        <v>12</v>
      </c>
      <c r="D92" s="6">
        <f t="shared" si="41"/>
        <v>0.17299999999999999</v>
      </c>
    </row>
    <row r="93" spans="1:4" x14ac:dyDescent="0.2">
      <c r="A93" s="1" t="s">
        <v>199</v>
      </c>
      <c r="B93" s="3">
        <v>198</v>
      </c>
      <c r="C93" s="5" t="s">
        <v>12</v>
      </c>
      <c r="D93" s="6">
        <f t="shared" si="41"/>
        <v>0.19800000000000001</v>
      </c>
    </row>
    <row r="94" spans="1:4" x14ac:dyDescent="0.2">
      <c r="A94" s="13" t="s">
        <v>87</v>
      </c>
      <c r="B94" s="3">
        <v>249</v>
      </c>
      <c r="C94" s="5" t="s">
        <v>12</v>
      </c>
      <c r="D94" s="6">
        <f t="shared" si="41"/>
        <v>0.249</v>
      </c>
    </row>
    <row r="95" spans="1:4" x14ac:dyDescent="0.2">
      <c r="A95" s="1" t="s">
        <v>59</v>
      </c>
      <c r="B95" s="3">
        <v>43.17</v>
      </c>
      <c r="C95" s="5" t="s">
        <v>12</v>
      </c>
      <c r="D95" s="6">
        <f t="shared" si="41"/>
        <v>4.317E-2</v>
      </c>
    </row>
    <row r="96" spans="1:4" x14ac:dyDescent="0.2">
      <c r="A96" s="1" t="s">
        <v>25</v>
      </c>
      <c r="B96" s="3">
        <v>18.84</v>
      </c>
      <c r="C96" s="5" t="s">
        <v>12</v>
      </c>
      <c r="D96" s="6">
        <f t="shared" si="41"/>
        <v>1.8839999999999999E-2</v>
      </c>
    </row>
    <row r="97" spans="1:4" x14ac:dyDescent="0.2">
      <c r="A97" s="1" t="s">
        <v>39</v>
      </c>
      <c r="B97" s="3">
        <v>56.15</v>
      </c>
      <c r="C97" s="5" t="s">
        <v>12</v>
      </c>
      <c r="D97" s="6">
        <f t="shared" si="41"/>
        <v>5.6149999999999999E-2</v>
      </c>
    </row>
    <row r="98" spans="1:4" x14ac:dyDescent="0.2">
      <c r="A98" s="1" t="s">
        <v>24</v>
      </c>
      <c r="B98" s="3">
        <v>76.06</v>
      </c>
      <c r="C98" s="5" t="s">
        <v>12</v>
      </c>
      <c r="D98" s="6">
        <f t="shared" si="41"/>
        <v>7.6060000000000003E-2</v>
      </c>
    </row>
    <row r="99" spans="1:4" x14ac:dyDescent="0.2">
      <c r="A99" s="1" t="s">
        <v>200</v>
      </c>
      <c r="B99" s="3">
        <v>43.5</v>
      </c>
      <c r="C99" s="5" t="s">
        <v>12</v>
      </c>
      <c r="D99" s="6">
        <f t="shared" si="41"/>
        <v>4.3499999999999997E-2</v>
      </c>
    </row>
    <row r="100" spans="1:4" x14ac:dyDescent="0.2">
      <c r="A100" s="1" t="s">
        <v>201</v>
      </c>
      <c r="B100" s="3">
        <v>123.7</v>
      </c>
      <c r="C100" s="5" t="s">
        <v>12</v>
      </c>
      <c r="D100" s="6">
        <f t="shared" si="41"/>
        <v>0.1237</v>
      </c>
    </row>
    <row r="101" spans="1:4" x14ac:dyDescent="0.2">
      <c r="A101" s="1" t="s">
        <v>28</v>
      </c>
      <c r="B101" s="3">
        <v>71</v>
      </c>
      <c r="C101" s="5" t="s">
        <v>12</v>
      </c>
      <c r="D101" s="6">
        <f t="shared" si="41"/>
        <v>7.0999999999999994E-2</v>
      </c>
    </row>
    <row r="102" spans="1:4" x14ac:dyDescent="0.2">
      <c r="A102" s="8" t="s">
        <v>68</v>
      </c>
      <c r="B102" s="14">
        <v>45</v>
      </c>
      <c r="C102" s="15" t="s">
        <v>12</v>
      </c>
      <c r="D102" s="16">
        <f t="shared" si="41"/>
        <v>4.4999999999999998E-2</v>
      </c>
    </row>
    <row r="103" spans="1:4" x14ac:dyDescent="0.2">
      <c r="A103" s="8" t="s">
        <v>34</v>
      </c>
      <c r="B103" s="14">
        <v>188</v>
      </c>
      <c r="C103" s="8" t="s">
        <v>12</v>
      </c>
      <c r="D103" s="14">
        <f t="shared" si="41"/>
        <v>0.188</v>
      </c>
    </row>
    <row r="104" spans="1:4" x14ac:dyDescent="0.2">
      <c r="A104" s="8" t="s">
        <v>202</v>
      </c>
      <c r="B104" s="8">
        <v>139.30000000000001</v>
      </c>
      <c r="C104" s="8" t="s">
        <v>12</v>
      </c>
      <c r="D104" s="14">
        <f t="shared" si="41"/>
        <v>0.13930000000000001</v>
      </c>
    </row>
    <row r="105" spans="1:4" x14ac:dyDescent="0.2">
      <c r="A105" s="8" t="s">
        <v>23</v>
      </c>
      <c r="B105" s="8">
        <v>0</v>
      </c>
      <c r="C105" s="8" t="s">
        <v>12</v>
      </c>
      <c r="D105" s="8">
        <f>B105/1000</f>
        <v>0</v>
      </c>
    </row>
    <row r="106" spans="1:4" x14ac:dyDescent="0.2">
      <c r="A106" s="1" t="s">
        <v>87</v>
      </c>
      <c r="B106" s="1">
        <v>249</v>
      </c>
      <c r="C106" s="1" t="s">
        <v>12</v>
      </c>
      <c r="D106" s="1">
        <f>B106/1000</f>
        <v>0.249</v>
      </c>
    </row>
    <row r="107" spans="1:4" x14ac:dyDescent="0.2">
      <c r="A107" s="1" t="s">
        <v>132</v>
      </c>
      <c r="B107" s="1"/>
      <c r="C107" s="1"/>
      <c r="D107" s="1">
        <f t="shared" ref="D107:D111" si="42">B107/1000</f>
        <v>0</v>
      </c>
    </row>
    <row r="108" spans="1:4" x14ac:dyDescent="0.2">
      <c r="A108" s="1" t="s">
        <v>53</v>
      </c>
      <c r="B108" s="1">
        <v>512</v>
      </c>
      <c r="C108" s="1" t="s">
        <v>12</v>
      </c>
      <c r="D108" s="1">
        <f t="shared" si="42"/>
        <v>0.51200000000000001</v>
      </c>
    </row>
    <row r="109" spans="1:4" x14ac:dyDescent="0.2">
      <c r="A109" s="8" t="s">
        <v>32</v>
      </c>
      <c r="B109" s="8">
        <v>612</v>
      </c>
      <c r="C109" s="8" t="s">
        <v>12</v>
      </c>
      <c r="D109" s="8">
        <f t="shared" si="42"/>
        <v>0.61199999999999999</v>
      </c>
    </row>
    <row r="110" spans="1:4" x14ac:dyDescent="0.2">
      <c r="A110" s="1" t="s">
        <v>203</v>
      </c>
      <c r="B110" s="1">
        <v>612</v>
      </c>
      <c r="C110" s="1" t="s">
        <v>12</v>
      </c>
      <c r="D110" s="1">
        <f t="shared" si="42"/>
        <v>0.61199999999999999</v>
      </c>
    </row>
    <row r="111" spans="1:4" x14ac:dyDescent="0.2">
      <c r="A111" s="8" t="s">
        <v>37</v>
      </c>
      <c r="B111" s="8">
        <v>20.149999999999999</v>
      </c>
      <c r="C111" s="8" t="s">
        <v>61</v>
      </c>
      <c r="D111" s="8">
        <f t="shared" si="42"/>
        <v>2.0149999999999998E-2</v>
      </c>
    </row>
    <row r="112" spans="1:4" x14ac:dyDescent="0.2">
      <c r="A112" s="1" t="s">
        <v>72</v>
      </c>
      <c r="B112" s="1">
        <v>14.6</v>
      </c>
      <c r="C112" s="1" t="s">
        <v>73</v>
      </c>
      <c r="D112" s="1">
        <f>B112*1</f>
        <v>14.6</v>
      </c>
    </row>
    <row r="113" spans="1:4" x14ac:dyDescent="0.2">
      <c r="A113" s="1" t="s">
        <v>366</v>
      </c>
      <c r="B113" s="1">
        <v>279.2</v>
      </c>
      <c r="C113" s="1" t="s">
        <v>12</v>
      </c>
      <c r="D113" s="1">
        <f>B113/1000</f>
        <v>0.2792</v>
      </c>
    </row>
    <row r="114" spans="1:4" x14ac:dyDescent="0.2">
      <c r="A114" s="1" t="s">
        <v>367</v>
      </c>
      <c r="B114" s="1">
        <v>550</v>
      </c>
      <c r="C114" s="1" t="s">
        <v>12</v>
      </c>
      <c r="D114" s="1">
        <f>B114/1000</f>
        <v>0.55000000000000004</v>
      </c>
    </row>
  </sheetData>
  <mergeCells count="95">
    <mergeCell ref="AD70:AE70"/>
    <mergeCell ref="AA59:AB59"/>
    <mergeCell ref="X63:Y63"/>
    <mergeCell ref="X68:Y68"/>
    <mergeCell ref="AG59:AH59"/>
    <mergeCell ref="AG61:AH61"/>
    <mergeCell ref="AD65:AE65"/>
    <mergeCell ref="L61:M61"/>
    <mergeCell ref="L66:M66"/>
    <mergeCell ref="U58:V58"/>
    <mergeCell ref="R62:S62"/>
    <mergeCell ref="R67:S67"/>
    <mergeCell ref="I59:J59"/>
    <mergeCell ref="F63:G63"/>
    <mergeCell ref="F68:G68"/>
    <mergeCell ref="F41:J41"/>
    <mergeCell ref="F1:J1"/>
    <mergeCell ref="F3:J3"/>
    <mergeCell ref="F16:J16"/>
    <mergeCell ref="F26:J26"/>
    <mergeCell ref="F33:J33"/>
    <mergeCell ref="F49:J49"/>
    <mergeCell ref="I50:J50"/>
    <mergeCell ref="I51:J51"/>
    <mergeCell ref="I52:J52"/>
    <mergeCell ref="I53:J53"/>
    <mergeCell ref="I54:J54"/>
    <mergeCell ref="I55:J55"/>
    <mergeCell ref="R41:V41"/>
    <mergeCell ref="L1:P1"/>
    <mergeCell ref="L3:P3"/>
    <mergeCell ref="L16:P16"/>
    <mergeCell ref="L26:P26"/>
    <mergeCell ref="L33:P33"/>
    <mergeCell ref="L40:P40"/>
    <mergeCell ref="R1:V1"/>
    <mergeCell ref="R3:V3"/>
    <mergeCell ref="R16:V16"/>
    <mergeCell ref="R26:V26"/>
    <mergeCell ref="R34:V34"/>
    <mergeCell ref="AD42:AH42"/>
    <mergeCell ref="X1:AB1"/>
    <mergeCell ref="X3:AB3"/>
    <mergeCell ref="X16:AB16"/>
    <mergeCell ref="X26:AB26"/>
    <mergeCell ref="X33:AB33"/>
    <mergeCell ref="X41:AB41"/>
    <mergeCell ref="AD1:AH1"/>
    <mergeCell ref="AD3:AH3"/>
    <mergeCell ref="AD16:AH16"/>
    <mergeCell ref="AD26:AH26"/>
    <mergeCell ref="AD33:AH33"/>
    <mergeCell ref="I56:J56"/>
    <mergeCell ref="I57:J57"/>
    <mergeCell ref="I58:J58"/>
    <mergeCell ref="L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R48:V48"/>
    <mergeCell ref="U49:V49"/>
    <mergeCell ref="U50:V50"/>
    <mergeCell ref="U51:V51"/>
    <mergeCell ref="U52:V52"/>
    <mergeCell ref="U53:V53"/>
    <mergeCell ref="U54:V54"/>
    <mergeCell ref="U55:V55"/>
    <mergeCell ref="U56:V56"/>
    <mergeCell ref="U57:V57"/>
    <mergeCell ref="X49:AB49"/>
    <mergeCell ref="AA50:AB50"/>
    <mergeCell ref="AA51:AB51"/>
    <mergeCell ref="AA52:AB52"/>
    <mergeCell ref="AA53:AB53"/>
    <mergeCell ref="AA54:AB54"/>
    <mergeCell ref="AA55:AB55"/>
    <mergeCell ref="AA56:AB56"/>
    <mergeCell ref="AA57:AB57"/>
    <mergeCell ref="AA58:AB58"/>
    <mergeCell ref="AD51:AH51"/>
    <mergeCell ref="AG52:AH52"/>
    <mergeCell ref="AG53:AH53"/>
    <mergeCell ref="AG54:AH54"/>
    <mergeCell ref="AG55:AH55"/>
    <mergeCell ref="AG56:AH56"/>
    <mergeCell ref="AG57:AH57"/>
    <mergeCell ref="AG58:AH58"/>
    <mergeCell ref="AG60:AH6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1D30-8538-2D4A-B2A3-54D64F8BA386}">
  <dimension ref="A1:AT114"/>
  <sheetViews>
    <sheetView topLeftCell="AD16" zoomScaleNormal="150" zoomScaleSheetLayoutView="100" workbookViewId="0">
      <selection activeCell="R29" sqref="R29:S32"/>
    </sheetView>
  </sheetViews>
  <sheetFormatPr defaultRowHeight="15" x14ac:dyDescent="0.2"/>
  <cols>
    <col min="1" max="1" width="27.57421875" customWidth="1"/>
    <col min="3" max="3" width="4.70703125" customWidth="1"/>
    <col min="6" max="6" width="21.65625" customWidth="1"/>
    <col min="7" max="7" width="8.875" bestFit="1" customWidth="1"/>
    <col min="8" max="8" width="4.3046875" customWidth="1"/>
    <col min="12" max="12" width="20.84765625" customWidth="1"/>
    <col min="13" max="13" width="11.97265625" bestFit="1" customWidth="1"/>
    <col min="14" max="14" width="4.16796875" customWidth="1"/>
    <col min="18" max="18" width="21.1171875" customWidth="1"/>
    <col min="19" max="19" width="9.81640625" bestFit="1" customWidth="1"/>
    <col min="20" max="20" width="3.8984375" customWidth="1"/>
    <col min="24" max="24" width="22.734375" customWidth="1"/>
    <col min="26" max="26" width="4.4375" customWidth="1"/>
    <col min="30" max="30" width="20.58203125" customWidth="1"/>
    <col min="31" max="31" width="9.81640625" bestFit="1" customWidth="1"/>
    <col min="32" max="32" width="4.16796875" customWidth="1"/>
    <col min="36" max="36" width="21.38671875" customWidth="1"/>
    <col min="37" max="37" width="9.81640625" bestFit="1" customWidth="1"/>
    <col min="38" max="38" width="4.16796875" customWidth="1"/>
    <col min="42" max="42" width="19.7734375" customWidth="1"/>
    <col min="44" max="44" width="4.83984375" customWidth="1"/>
  </cols>
  <sheetData>
    <row r="1" spans="1:46" ht="27.75" x14ac:dyDescent="0.2">
      <c r="A1" s="9" t="s">
        <v>0</v>
      </c>
      <c r="B1" s="28" t="s">
        <v>1</v>
      </c>
      <c r="C1" s="11" t="s">
        <v>2</v>
      </c>
      <c r="D1" s="12" t="s">
        <v>3</v>
      </c>
      <c r="F1" s="95" t="s">
        <v>374</v>
      </c>
      <c r="G1" s="96"/>
      <c r="H1" s="96"/>
      <c r="I1" s="96"/>
      <c r="J1" s="97"/>
      <c r="L1" s="147" t="s">
        <v>375</v>
      </c>
      <c r="M1" s="148"/>
      <c r="N1" s="148"/>
      <c r="O1" s="148"/>
      <c r="P1" s="149"/>
      <c r="R1" s="153" t="s">
        <v>376</v>
      </c>
      <c r="S1" s="154"/>
      <c r="T1" s="154"/>
      <c r="U1" s="154"/>
      <c r="V1" s="155"/>
      <c r="X1" s="150" t="s">
        <v>377</v>
      </c>
      <c r="Y1" s="151"/>
      <c r="Z1" s="151"/>
      <c r="AA1" s="151"/>
      <c r="AB1" s="152"/>
      <c r="AD1" s="156" t="s">
        <v>378</v>
      </c>
      <c r="AE1" s="157"/>
      <c r="AF1" s="157"/>
      <c r="AG1" s="157"/>
      <c r="AH1" s="158"/>
      <c r="AJ1" s="159" t="s">
        <v>379</v>
      </c>
      <c r="AK1" s="160"/>
      <c r="AL1" s="160"/>
      <c r="AM1" s="160"/>
      <c r="AN1" s="161"/>
      <c r="AP1" s="165" t="s">
        <v>380</v>
      </c>
      <c r="AQ1" s="166"/>
      <c r="AR1" s="166"/>
      <c r="AS1" s="166"/>
      <c r="AT1" s="167"/>
    </row>
    <row r="2" spans="1:46" x14ac:dyDescent="0.2">
      <c r="A2" s="1" t="s">
        <v>11</v>
      </c>
      <c r="B2" s="3">
        <v>69.03</v>
      </c>
      <c r="C2" s="5" t="s">
        <v>12</v>
      </c>
      <c r="D2" s="6">
        <f>B2/1000</f>
        <v>6.9030000000000008E-2</v>
      </c>
      <c r="F2" s="22"/>
      <c r="G2" s="23"/>
      <c r="H2" s="23"/>
      <c r="I2" s="23"/>
      <c r="J2" s="24"/>
      <c r="L2" s="22"/>
      <c r="M2" s="23"/>
      <c r="N2" s="23"/>
      <c r="O2" s="23"/>
      <c r="P2" s="24"/>
      <c r="R2" s="22"/>
      <c r="S2" s="23"/>
      <c r="T2" s="23"/>
      <c r="U2" s="23"/>
      <c r="V2" s="24"/>
      <c r="X2" s="22"/>
      <c r="Y2" s="23"/>
      <c r="Z2" s="23"/>
      <c r="AA2" s="23"/>
      <c r="AB2" s="24"/>
      <c r="AD2" s="22"/>
      <c r="AE2" s="23"/>
      <c r="AF2" s="23"/>
      <c r="AG2" s="23"/>
      <c r="AH2" s="24"/>
      <c r="AJ2" s="22"/>
      <c r="AK2" s="23"/>
      <c r="AL2" s="23"/>
      <c r="AM2" s="23"/>
      <c r="AN2" s="24"/>
      <c r="AP2" s="22"/>
      <c r="AQ2" s="23"/>
      <c r="AR2" s="23"/>
      <c r="AS2" s="23"/>
      <c r="AT2" s="24"/>
    </row>
    <row r="3" spans="1:46" x14ac:dyDescent="0.2">
      <c r="A3" s="1" t="s">
        <v>13</v>
      </c>
      <c r="B3" s="3">
        <v>129.1</v>
      </c>
      <c r="C3" s="5" t="s">
        <v>12</v>
      </c>
      <c r="D3" s="6">
        <f t="shared" ref="D3:D67" si="0">B3/1000</f>
        <v>0.12909999999999999</v>
      </c>
      <c r="F3" s="92" t="s">
        <v>381</v>
      </c>
      <c r="G3" s="93"/>
      <c r="H3" s="93"/>
      <c r="I3" s="93"/>
      <c r="J3" s="94"/>
      <c r="L3" s="82" t="s">
        <v>382</v>
      </c>
      <c r="M3" s="83"/>
      <c r="N3" s="83"/>
      <c r="O3" s="83"/>
      <c r="P3" s="84"/>
      <c r="R3" s="75" t="s">
        <v>383</v>
      </c>
      <c r="S3" s="76"/>
      <c r="T3" s="76"/>
      <c r="U3" s="76"/>
      <c r="V3" s="77"/>
      <c r="X3" s="79" t="s">
        <v>384</v>
      </c>
      <c r="Y3" s="80"/>
      <c r="Z3" s="80"/>
      <c r="AA3" s="80"/>
      <c r="AB3" s="81"/>
      <c r="AD3" s="89" t="s">
        <v>385</v>
      </c>
      <c r="AE3" s="90"/>
      <c r="AF3" s="90"/>
      <c r="AG3" s="90"/>
      <c r="AH3" s="91"/>
      <c r="AJ3" s="162" t="s">
        <v>386</v>
      </c>
      <c r="AK3" s="163"/>
      <c r="AL3" s="163"/>
      <c r="AM3" s="163"/>
      <c r="AN3" s="164"/>
      <c r="AP3" s="168" t="s">
        <v>387</v>
      </c>
      <c r="AQ3" s="169"/>
      <c r="AR3" s="169"/>
      <c r="AS3" s="169"/>
      <c r="AT3" s="170"/>
    </row>
    <row r="4" spans="1:46" x14ac:dyDescent="0.2">
      <c r="A4" s="1" t="s">
        <v>21</v>
      </c>
      <c r="B4" s="3">
        <v>11.59</v>
      </c>
      <c r="C4" s="5" t="s">
        <v>12</v>
      </c>
      <c r="D4" s="6">
        <f t="shared" si="0"/>
        <v>1.159E-2</v>
      </c>
      <c r="F4" s="1" t="s">
        <v>21</v>
      </c>
      <c r="G4" s="1">
        <v>452</v>
      </c>
      <c r="H4" s="1" t="s">
        <v>22</v>
      </c>
      <c r="I4" s="1">
        <f>_xlfn.XLOOKUP(F4,$A$2:$A$114,$D$2:$D$114)</f>
        <v>1.159E-2</v>
      </c>
      <c r="J4" s="17">
        <f>G4*I4</f>
        <v>5.2386799999999996</v>
      </c>
      <c r="L4" s="1" t="s">
        <v>21</v>
      </c>
      <c r="M4" s="1">
        <v>491.5</v>
      </c>
      <c r="N4" s="1" t="s">
        <v>22</v>
      </c>
      <c r="O4" s="1">
        <f>_xlfn.XLOOKUP(L4,$A$2:$A$114,$D$2:$D$114)</f>
        <v>1.159E-2</v>
      </c>
      <c r="P4" s="17">
        <f>M4*O4</f>
        <v>5.696485</v>
      </c>
      <c r="R4" s="1" t="s">
        <v>21</v>
      </c>
      <c r="S4" s="1">
        <v>431</v>
      </c>
      <c r="T4" s="1" t="s">
        <v>22</v>
      </c>
      <c r="U4" s="1">
        <f>_xlfn.XLOOKUP(R4,$A$2:$A$114,$D$2:$D$114)</f>
        <v>1.159E-2</v>
      </c>
      <c r="V4" s="17">
        <f>S4*U4</f>
        <v>4.9952899999999998</v>
      </c>
      <c r="X4" s="1" t="s">
        <v>21</v>
      </c>
      <c r="Y4" s="1">
        <v>1000</v>
      </c>
      <c r="Z4" s="1" t="s">
        <v>22</v>
      </c>
      <c r="AA4" s="1">
        <f>_xlfn.XLOOKUP(X4,$A$2:$A$114,$D$2:$D$114)</f>
        <v>1.159E-2</v>
      </c>
      <c r="AB4" s="17">
        <f>Y4*AA4</f>
        <v>11.59</v>
      </c>
      <c r="AD4" s="1" t="s">
        <v>42</v>
      </c>
      <c r="AE4" s="1">
        <v>251</v>
      </c>
      <c r="AF4" s="1" t="s">
        <v>22</v>
      </c>
      <c r="AG4" s="1">
        <f>_xlfn.XLOOKUP(AD4,$A$2:$A$114,$D$2:$D$114)</f>
        <v>1.159E-2</v>
      </c>
      <c r="AH4" s="17">
        <f>AE4*AG4</f>
        <v>2.90909</v>
      </c>
      <c r="AJ4" s="1" t="s">
        <v>21</v>
      </c>
      <c r="AK4" s="1">
        <v>250</v>
      </c>
      <c r="AL4" s="1" t="s">
        <v>22</v>
      </c>
      <c r="AM4" s="1">
        <f>_xlfn.XLOOKUP(AJ4,$A$2:$A$114,$D$2:$D$114)</f>
        <v>1.159E-2</v>
      </c>
      <c r="AN4" s="17">
        <f>AK4*AM4</f>
        <v>2.8975</v>
      </c>
      <c r="AP4" s="1" t="s">
        <v>388</v>
      </c>
      <c r="AQ4" s="1">
        <v>700</v>
      </c>
      <c r="AR4" s="1" t="s">
        <v>22</v>
      </c>
      <c r="AS4" s="1">
        <f>_xlfn.XLOOKUP(AP4,$A$2:$A$114,$D$2:$D$114)</f>
        <v>1.35E-2</v>
      </c>
      <c r="AT4" s="17">
        <f>AQ4*AS4</f>
        <v>9.4499999999999993</v>
      </c>
    </row>
    <row r="5" spans="1:46" x14ac:dyDescent="0.2">
      <c r="A5" s="1" t="s">
        <v>26</v>
      </c>
      <c r="B5" s="3">
        <v>13.15</v>
      </c>
      <c r="C5" s="5" t="s">
        <v>12</v>
      </c>
      <c r="D5" s="6">
        <f t="shared" si="0"/>
        <v>1.315E-2</v>
      </c>
      <c r="F5" s="1" t="s">
        <v>46</v>
      </c>
      <c r="G5" s="1">
        <v>87</v>
      </c>
      <c r="H5" s="1" t="s">
        <v>22</v>
      </c>
      <c r="I5" s="1">
        <f>_xlfn.XLOOKUP(F5,$A$2:$A$114,$D$2:$D$114)</f>
        <v>2.461E-2</v>
      </c>
      <c r="J5" s="17">
        <f t="shared" ref="J5:J10" si="1">G5*I5</f>
        <v>2.14107</v>
      </c>
      <c r="L5" s="1" t="s">
        <v>30</v>
      </c>
      <c r="M5" s="1">
        <v>8</v>
      </c>
      <c r="N5" s="1" t="s">
        <v>22</v>
      </c>
      <c r="O5" s="1">
        <f>_xlfn.XLOOKUP(L5,$A$2:$A$114,$D$2:$D$114)</f>
        <v>5.2500000000000003E-3</v>
      </c>
      <c r="P5" s="17">
        <f t="shared" ref="P5:P12" si="2">M5*O5</f>
        <v>4.2000000000000003E-2</v>
      </c>
      <c r="R5" s="1" t="s">
        <v>46</v>
      </c>
      <c r="S5" s="1">
        <v>83</v>
      </c>
      <c r="T5" s="1" t="s">
        <v>22</v>
      </c>
      <c r="U5" s="1">
        <f>_xlfn.XLOOKUP(R5,$A$2:$A$114,$D$2:$D$114)</f>
        <v>2.461E-2</v>
      </c>
      <c r="V5" s="17">
        <f t="shared" ref="V5:V10" si="3">S5*U5</f>
        <v>2.0426299999999999</v>
      </c>
      <c r="X5" s="1" t="s">
        <v>30</v>
      </c>
      <c r="Y5" s="1">
        <v>20</v>
      </c>
      <c r="Z5" s="1" t="s">
        <v>22</v>
      </c>
      <c r="AA5" s="1">
        <f>_xlfn.XLOOKUP(X5,$A$2:$A$114,$D$2:$D$114)</f>
        <v>5.2500000000000003E-3</v>
      </c>
      <c r="AB5" s="17">
        <f t="shared" ref="AB5:AB10" si="4">Y5*AA5</f>
        <v>0.10500000000000001</v>
      </c>
      <c r="AD5" s="1" t="s">
        <v>46</v>
      </c>
      <c r="AE5" s="1">
        <v>128</v>
      </c>
      <c r="AF5" s="1" t="s">
        <v>22</v>
      </c>
      <c r="AG5" s="1">
        <f>_xlfn.XLOOKUP(AD5,$A$2:$A$114,$D$2:$D$114)</f>
        <v>2.461E-2</v>
      </c>
      <c r="AH5" s="17">
        <f t="shared" ref="AH5:AH13" si="5">AE5*AG5</f>
        <v>3.15008</v>
      </c>
      <c r="AJ5" s="1" t="s">
        <v>46</v>
      </c>
      <c r="AK5" s="1">
        <v>44</v>
      </c>
      <c r="AL5" s="1" t="s">
        <v>22</v>
      </c>
      <c r="AM5" s="1">
        <f>_xlfn.XLOOKUP(AJ5,$A$2:$A$114,$D$2:$D$114)</f>
        <v>2.461E-2</v>
      </c>
      <c r="AN5" s="17">
        <f t="shared" ref="AN5:AN11" si="6">AK5*AM5</f>
        <v>1.08284</v>
      </c>
      <c r="AP5" s="1" t="s">
        <v>42</v>
      </c>
      <c r="AQ5" s="1">
        <v>300</v>
      </c>
      <c r="AR5" s="1" t="s">
        <v>22</v>
      </c>
      <c r="AS5" s="1">
        <f>_xlfn.XLOOKUP(AP5,$A$2:$A$114,$D$2:$D$114)</f>
        <v>1.159E-2</v>
      </c>
      <c r="AT5" s="17">
        <f t="shared" ref="AT5:AT11" si="7">AQ5*AS5</f>
        <v>3.4769999999999999</v>
      </c>
    </row>
    <row r="6" spans="1:46" x14ac:dyDescent="0.2">
      <c r="A6" s="1" t="s">
        <v>31</v>
      </c>
      <c r="B6" s="3">
        <v>24.55</v>
      </c>
      <c r="C6" s="5" t="s">
        <v>12</v>
      </c>
      <c r="D6" s="6">
        <f t="shared" si="0"/>
        <v>2.4550000000000002E-2</v>
      </c>
      <c r="F6" s="1" t="s">
        <v>30</v>
      </c>
      <c r="G6" s="1">
        <v>14</v>
      </c>
      <c r="H6" s="1" t="s">
        <v>22</v>
      </c>
      <c r="I6" s="1">
        <f>_xlfn.XLOOKUP(F6,$A$2:$A$114,$D$2:$D$114)</f>
        <v>5.2500000000000003E-3</v>
      </c>
      <c r="J6" s="17">
        <f t="shared" si="1"/>
        <v>7.350000000000001E-2</v>
      </c>
      <c r="L6" s="1" t="s">
        <v>26</v>
      </c>
      <c r="M6" s="1">
        <v>27</v>
      </c>
      <c r="N6" s="1" t="s">
        <v>22</v>
      </c>
      <c r="O6" s="1">
        <f>_xlfn.XLOOKUP(L6,$A$2:$A$114,$D$2:$D$114)</f>
        <v>1.315E-2</v>
      </c>
      <c r="P6" s="17">
        <f t="shared" si="2"/>
        <v>0.35505000000000003</v>
      </c>
      <c r="R6" s="1" t="s">
        <v>30</v>
      </c>
      <c r="S6" s="1">
        <v>13</v>
      </c>
      <c r="T6" s="1" t="s">
        <v>22</v>
      </c>
      <c r="U6" s="1">
        <f>_xlfn.XLOOKUP(R6,$A$2:$A$114,$D$2:$D$114)</f>
        <v>5.2500000000000003E-3</v>
      </c>
      <c r="V6" s="17">
        <f t="shared" si="3"/>
        <v>6.8250000000000005E-2</v>
      </c>
      <c r="X6" s="1" t="s">
        <v>65</v>
      </c>
      <c r="Y6" s="1">
        <v>6.5</v>
      </c>
      <c r="Z6" s="1" t="s">
        <v>22</v>
      </c>
      <c r="AA6" s="1">
        <f>_xlfn.XLOOKUP(X6,$A$2:$A$114,$D$2:$D$114)</f>
        <v>2.9700000000000001E-2</v>
      </c>
      <c r="AB6" s="17">
        <f t="shared" si="4"/>
        <v>0.19305</v>
      </c>
      <c r="AD6" s="1" t="s">
        <v>30</v>
      </c>
      <c r="AE6" s="1">
        <v>9</v>
      </c>
      <c r="AF6" s="1" t="s">
        <v>22</v>
      </c>
      <c r="AG6" s="1">
        <f>_xlfn.XLOOKUP(AD6,$A$2:$A$114,$D$2:$D$114)</f>
        <v>5.2500000000000003E-3</v>
      </c>
      <c r="AH6" s="17">
        <f t="shared" si="5"/>
        <v>4.725E-2</v>
      </c>
      <c r="AJ6" s="1" t="s">
        <v>45</v>
      </c>
      <c r="AK6" s="1">
        <v>113</v>
      </c>
      <c r="AL6" s="1" t="s">
        <v>22</v>
      </c>
      <c r="AM6" s="1">
        <f>_xlfn.XLOOKUP(AJ6,$A$2:$A$114,$D$2:$D$114)</f>
        <v>1.4109999999999999E-2</v>
      </c>
      <c r="AN6" s="17">
        <f t="shared" si="6"/>
        <v>1.59443</v>
      </c>
      <c r="AP6" s="1" t="s">
        <v>30</v>
      </c>
      <c r="AQ6" s="1">
        <v>20</v>
      </c>
      <c r="AR6" s="1" t="s">
        <v>22</v>
      </c>
      <c r="AS6" s="1">
        <f>_xlfn.XLOOKUP(AP6,$A$2:$A$114,$D$2:$D$114)</f>
        <v>5.2500000000000003E-3</v>
      </c>
      <c r="AT6" s="17">
        <f t="shared" si="7"/>
        <v>0.10500000000000001</v>
      </c>
    </row>
    <row r="7" spans="1:46" x14ac:dyDescent="0.2">
      <c r="A7" s="1" t="s">
        <v>27</v>
      </c>
      <c r="B7" s="3">
        <v>16.75</v>
      </c>
      <c r="C7" s="5" t="s">
        <v>12</v>
      </c>
      <c r="D7" s="6">
        <f t="shared" si="0"/>
        <v>1.6750000000000001E-2</v>
      </c>
      <c r="F7" s="1" t="s">
        <v>23</v>
      </c>
      <c r="G7" s="1">
        <v>366</v>
      </c>
      <c r="H7" s="1" t="s">
        <v>22</v>
      </c>
      <c r="I7" s="1">
        <f>_xlfn.XLOOKUP(F7,$A$2:$A$114,$D$2:$D$114)</f>
        <v>0</v>
      </c>
      <c r="J7" s="17">
        <f t="shared" si="1"/>
        <v>0</v>
      </c>
      <c r="L7" s="1" t="s">
        <v>40</v>
      </c>
      <c r="M7" s="1">
        <v>53</v>
      </c>
      <c r="N7" s="1" t="s">
        <v>22</v>
      </c>
      <c r="O7" s="1">
        <f>_xlfn.XLOOKUP(L7,$A$2:$A$114,$D$2:$D$114)</f>
        <v>8.3989999999999995E-2</v>
      </c>
      <c r="P7" s="17">
        <f t="shared" si="2"/>
        <v>4.4514699999999996</v>
      </c>
      <c r="R7" s="1" t="s">
        <v>23</v>
      </c>
      <c r="S7" s="1">
        <v>350</v>
      </c>
      <c r="T7" s="1" t="s">
        <v>22</v>
      </c>
      <c r="U7" s="1">
        <f>_xlfn.XLOOKUP(R7,$A$2:$A$114,$D$2:$D$114)</f>
        <v>0</v>
      </c>
      <c r="V7" s="17">
        <f t="shared" si="3"/>
        <v>0</v>
      </c>
      <c r="X7" s="1" t="s">
        <v>389</v>
      </c>
      <c r="Y7" s="1">
        <v>234</v>
      </c>
      <c r="Z7" s="1" t="s">
        <v>22</v>
      </c>
      <c r="AA7" s="1">
        <f>_xlfn.XLOOKUP(X7,$A$2:$A$114,$D$2:$D$114)</f>
        <v>7.0000000000000001E-3</v>
      </c>
      <c r="AB7" s="17">
        <f t="shared" si="4"/>
        <v>1.6380000000000001</v>
      </c>
      <c r="AD7" s="1" t="s">
        <v>23</v>
      </c>
      <c r="AE7" s="1">
        <v>285</v>
      </c>
      <c r="AF7" s="1" t="s">
        <v>22</v>
      </c>
      <c r="AG7" s="1">
        <f>_xlfn.XLOOKUP(AD7,$A$2:$A$114,$D$2:$D$114)</f>
        <v>0</v>
      </c>
      <c r="AH7" s="17">
        <f t="shared" si="5"/>
        <v>0</v>
      </c>
      <c r="AJ7" s="1" t="s">
        <v>30</v>
      </c>
      <c r="AK7" s="1">
        <v>9</v>
      </c>
      <c r="AL7" s="1" t="s">
        <v>22</v>
      </c>
      <c r="AM7" s="1">
        <f>_xlfn.XLOOKUP(AJ7,$A$2:$A$114,$D$2:$D$114)</f>
        <v>5.2500000000000003E-3</v>
      </c>
      <c r="AN7" s="17">
        <f t="shared" si="6"/>
        <v>4.725E-2</v>
      </c>
      <c r="AP7" s="1" t="s">
        <v>389</v>
      </c>
      <c r="AQ7" s="1">
        <v>250</v>
      </c>
      <c r="AR7" s="1" t="s">
        <v>22</v>
      </c>
      <c r="AS7" s="1">
        <f>_xlfn.XLOOKUP(AP7,$A$2:$A$114,$D$2:$D$114)</f>
        <v>7.0000000000000001E-3</v>
      </c>
      <c r="AT7" s="17">
        <f t="shared" si="7"/>
        <v>1.75</v>
      </c>
    </row>
    <row r="8" spans="1:46" x14ac:dyDescent="0.2">
      <c r="A8" s="1" t="s">
        <v>35</v>
      </c>
      <c r="B8" s="3">
        <v>49.5</v>
      </c>
      <c r="C8" s="5" t="s">
        <v>12</v>
      </c>
      <c r="D8" s="6">
        <f t="shared" si="0"/>
        <v>4.9500000000000002E-2</v>
      </c>
      <c r="F8" s="8" t="s">
        <v>389</v>
      </c>
      <c r="G8" s="8">
        <v>50</v>
      </c>
      <c r="H8" s="8" t="s">
        <v>22</v>
      </c>
      <c r="I8" s="1">
        <f>_xlfn.XLOOKUP(F8,$A$2:$A$114,$D$2:$D$114)</f>
        <v>7.0000000000000001E-3</v>
      </c>
      <c r="J8" s="17">
        <f t="shared" si="1"/>
        <v>0.35000000000000003</v>
      </c>
      <c r="L8" s="8" t="s">
        <v>120</v>
      </c>
      <c r="M8" s="8">
        <v>13</v>
      </c>
      <c r="N8" s="8" t="s">
        <v>22</v>
      </c>
      <c r="O8" s="1">
        <f>_xlfn.XLOOKUP(L8,$A$2:$A$114,$D$2:$D$114)</f>
        <v>4.1399999999999999E-2</v>
      </c>
      <c r="P8" s="17">
        <f t="shared" si="2"/>
        <v>0.53820000000000001</v>
      </c>
      <c r="R8" s="8" t="s">
        <v>389</v>
      </c>
      <c r="S8" s="8">
        <v>100</v>
      </c>
      <c r="T8" s="8" t="s">
        <v>22</v>
      </c>
      <c r="U8" s="1">
        <f>_xlfn.XLOOKUP(R8,$A$2:$A$114,$D$2:$D$114)</f>
        <v>7.0000000000000001E-3</v>
      </c>
      <c r="V8" s="17">
        <f t="shared" si="3"/>
        <v>0.70000000000000007</v>
      </c>
      <c r="X8" s="8" t="s">
        <v>23</v>
      </c>
      <c r="Y8" s="8">
        <v>597</v>
      </c>
      <c r="Z8" s="8" t="s">
        <v>22</v>
      </c>
      <c r="AA8" s="1">
        <f>_xlfn.XLOOKUP(X8,$A$2:$A$114,$D$2:$D$114)</f>
        <v>0</v>
      </c>
      <c r="AB8" s="17">
        <f t="shared" si="4"/>
        <v>0</v>
      </c>
      <c r="AD8" s="8" t="s">
        <v>389</v>
      </c>
      <c r="AE8" s="8">
        <v>97</v>
      </c>
      <c r="AF8" s="8" t="s">
        <v>22</v>
      </c>
      <c r="AG8" s="1">
        <f>_xlfn.XLOOKUP(AD8,$A$2:$A$114,$D$2:$D$114)</f>
        <v>7.0000000000000001E-3</v>
      </c>
      <c r="AH8" s="17">
        <f t="shared" si="5"/>
        <v>0.67900000000000005</v>
      </c>
      <c r="AJ8" s="8" t="s">
        <v>23</v>
      </c>
      <c r="AK8" s="8">
        <v>318</v>
      </c>
      <c r="AL8" s="8" t="s">
        <v>22</v>
      </c>
      <c r="AM8" s="1">
        <f>_xlfn.XLOOKUP(AJ8,$A$2:$A$114,$D$2:$D$114)</f>
        <v>0</v>
      </c>
      <c r="AN8" s="17">
        <f t="shared" si="6"/>
        <v>0</v>
      </c>
      <c r="AP8" s="8" t="s">
        <v>65</v>
      </c>
      <c r="AQ8" s="8">
        <v>1</v>
      </c>
      <c r="AR8" s="8" t="s">
        <v>22</v>
      </c>
      <c r="AS8" s="1">
        <f>_xlfn.XLOOKUP(AP8,$A$2:$A$114,$D$2:$D$114)</f>
        <v>2.9700000000000001E-2</v>
      </c>
      <c r="AT8" s="17">
        <f t="shared" si="7"/>
        <v>2.9700000000000001E-2</v>
      </c>
    </row>
    <row r="9" spans="1:46" x14ac:dyDescent="0.2">
      <c r="A9" s="1" t="s">
        <v>40</v>
      </c>
      <c r="B9" s="3">
        <v>83.99</v>
      </c>
      <c r="C9" s="5" t="s">
        <v>12</v>
      </c>
      <c r="D9" s="6">
        <f t="shared" si="0"/>
        <v>8.3989999999999995E-2</v>
      </c>
      <c r="F9" s="1" t="s">
        <v>65</v>
      </c>
      <c r="G9" s="8">
        <v>5</v>
      </c>
      <c r="H9" s="8" t="s">
        <v>22</v>
      </c>
      <c r="I9" s="1">
        <f>_xlfn.XLOOKUP(F9,$A$2:$A$114,$D$2:$D$114)</f>
        <v>2.9700000000000001E-2</v>
      </c>
      <c r="J9" s="17">
        <f t="shared" si="1"/>
        <v>0.14849999999999999</v>
      </c>
      <c r="L9" s="1" t="s">
        <v>69</v>
      </c>
      <c r="M9" s="8">
        <v>20</v>
      </c>
      <c r="N9" s="8" t="s">
        <v>22</v>
      </c>
      <c r="O9" s="1">
        <f>_xlfn.XLOOKUP(L9,$A$2:$A$114,$D$2:$D$114)</f>
        <v>3.2390000000000002E-2</v>
      </c>
      <c r="P9" s="17">
        <f t="shared" si="2"/>
        <v>0.64780000000000004</v>
      </c>
      <c r="R9" s="1" t="s">
        <v>65</v>
      </c>
      <c r="S9" s="8">
        <v>1</v>
      </c>
      <c r="T9" s="8" t="s">
        <v>22</v>
      </c>
      <c r="U9" s="1">
        <f>_xlfn.XLOOKUP(R9,$A$2:$A$114,$D$2:$D$114)</f>
        <v>2.9700000000000001E-2</v>
      </c>
      <c r="V9" s="17">
        <f t="shared" si="3"/>
        <v>2.9700000000000001E-2</v>
      </c>
      <c r="X9" s="1" t="s">
        <v>60</v>
      </c>
      <c r="Y9" s="8">
        <v>70</v>
      </c>
      <c r="Z9" s="8" t="s">
        <v>22</v>
      </c>
      <c r="AA9" s="1">
        <f>_xlfn.XLOOKUP(X9,$A$2:$A$114,$D$2:$D$114)</f>
        <v>0.107</v>
      </c>
      <c r="AB9" s="17">
        <f t="shared" si="4"/>
        <v>7.49</v>
      </c>
      <c r="AD9" s="1" t="s">
        <v>65</v>
      </c>
      <c r="AE9" s="8">
        <v>1</v>
      </c>
      <c r="AF9" s="8" t="s">
        <v>22</v>
      </c>
      <c r="AG9" s="1">
        <f t="shared" ref="AG9:AG12" si="8">_xlfn.XLOOKUP(AD9,$A$2:$A$114,$D$2:$D$114)</f>
        <v>2.9700000000000001E-2</v>
      </c>
      <c r="AH9" s="17">
        <f t="shared" si="5"/>
        <v>2.9700000000000001E-2</v>
      </c>
      <c r="AJ9" s="1" t="s">
        <v>389</v>
      </c>
      <c r="AK9" s="8">
        <v>98</v>
      </c>
      <c r="AL9" s="8" t="s">
        <v>22</v>
      </c>
      <c r="AM9" s="1">
        <f t="shared" ref="AM9:AM11" si="9">_xlfn.XLOOKUP(AJ9,$A$2:$A$114,$D$2:$D$114)</f>
        <v>7.0000000000000001E-3</v>
      </c>
      <c r="AN9" s="17">
        <f t="shared" si="6"/>
        <v>0.68600000000000005</v>
      </c>
      <c r="AP9" s="1" t="s">
        <v>23</v>
      </c>
      <c r="AQ9" s="8">
        <v>850</v>
      </c>
      <c r="AR9" s="8" t="s">
        <v>22</v>
      </c>
      <c r="AS9" s="1">
        <f t="shared" ref="AS9:AS11" si="10">_xlfn.XLOOKUP(AP9,$A$2:$A$114,$D$2:$D$114)</f>
        <v>0</v>
      </c>
      <c r="AT9" s="17">
        <f t="shared" si="7"/>
        <v>0</v>
      </c>
    </row>
    <row r="10" spans="1:46" x14ac:dyDescent="0.2">
      <c r="A10" s="1" t="s">
        <v>42</v>
      </c>
      <c r="B10" s="3">
        <v>11.59</v>
      </c>
      <c r="C10" s="5" t="s">
        <v>12</v>
      </c>
      <c r="D10" s="6">
        <f t="shared" si="0"/>
        <v>1.159E-2</v>
      </c>
      <c r="F10" s="1" t="s">
        <v>23</v>
      </c>
      <c r="G10" s="8">
        <v>30</v>
      </c>
      <c r="H10" s="8" t="s">
        <v>22</v>
      </c>
      <c r="I10" s="1">
        <f>_xlfn.XLOOKUP(F10,$A$2:$A$114,$D$2:$D$114)</f>
        <v>0</v>
      </c>
      <c r="J10" s="17">
        <f t="shared" si="1"/>
        <v>0</v>
      </c>
      <c r="L10" s="1" t="s">
        <v>23</v>
      </c>
      <c r="M10" s="8">
        <v>295</v>
      </c>
      <c r="N10" s="8" t="s">
        <v>22</v>
      </c>
      <c r="O10" s="1">
        <f t="shared" ref="O10:O12" si="11">_xlfn.XLOOKUP(L10,$A$2:$A$114,$D$2:$D$114)</f>
        <v>0</v>
      </c>
      <c r="P10" s="17">
        <f t="shared" si="2"/>
        <v>0</v>
      </c>
      <c r="R10" s="1" t="s">
        <v>23</v>
      </c>
      <c r="S10" s="8">
        <v>28</v>
      </c>
      <c r="T10" s="8" t="s">
        <v>22</v>
      </c>
      <c r="U10" s="1">
        <f>_xlfn.XLOOKUP(R10,$A$2:$A$114,$D$2:$D$114)</f>
        <v>0</v>
      </c>
      <c r="V10" s="17">
        <f t="shared" si="3"/>
        <v>0</v>
      </c>
      <c r="X10" s="1" t="s">
        <v>23</v>
      </c>
      <c r="Y10" s="8">
        <v>204</v>
      </c>
      <c r="Z10" s="8" t="s">
        <v>22</v>
      </c>
      <c r="AA10" s="1">
        <f>_xlfn.XLOOKUP(X10,$A$2:$A$114,$D$2:$D$114)</f>
        <v>0</v>
      </c>
      <c r="AB10" s="17">
        <f t="shared" si="4"/>
        <v>0</v>
      </c>
      <c r="AD10" s="1" t="s">
        <v>23</v>
      </c>
      <c r="AE10" s="8">
        <v>18</v>
      </c>
      <c r="AF10" s="8" t="s">
        <v>22</v>
      </c>
      <c r="AG10" s="1">
        <f t="shared" si="8"/>
        <v>0</v>
      </c>
      <c r="AH10" s="17">
        <f t="shared" si="5"/>
        <v>0</v>
      </c>
      <c r="AJ10" s="1" t="s">
        <v>65</v>
      </c>
      <c r="AK10" s="8">
        <v>1</v>
      </c>
      <c r="AL10" s="8" t="s">
        <v>22</v>
      </c>
      <c r="AM10" s="1">
        <f t="shared" si="9"/>
        <v>2.9700000000000001E-2</v>
      </c>
      <c r="AN10" s="17">
        <f t="shared" si="6"/>
        <v>2.9700000000000001E-2</v>
      </c>
      <c r="AP10" s="1" t="s">
        <v>390</v>
      </c>
      <c r="AQ10" s="8">
        <v>130</v>
      </c>
      <c r="AR10" s="8" t="s">
        <v>22</v>
      </c>
      <c r="AS10" s="1" t="e">
        <f t="shared" si="10"/>
        <v>#N/A</v>
      </c>
      <c r="AT10" s="17" t="e">
        <f t="shared" si="7"/>
        <v>#N/A</v>
      </c>
    </row>
    <row r="11" spans="1:46" x14ac:dyDescent="0.2">
      <c r="A11" s="1" t="s">
        <v>45</v>
      </c>
      <c r="B11" s="3">
        <v>14.11</v>
      </c>
      <c r="C11" s="5" t="s">
        <v>12</v>
      </c>
      <c r="D11" s="6">
        <f t="shared" si="0"/>
        <v>1.4109999999999999E-2</v>
      </c>
      <c r="F11" s="1" t="s">
        <v>41</v>
      </c>
      <c r="G11" s="1">
        <f>SUM(G4:G10)</f>
        <v>1004</v>
      </c>
      <c r="H11" s="1" t="s">
        <v>22</v>
      </c>
      <c r="I11" s="1"/>
      <c r="J11" s="17">
        <f>SUM(J4:J10)</f>
        <v>7.9517499999999997</v>
      </c>
      <c r="L11" s="1" t="s">
        <v>28</v>
      </c>
      <c r="M11" s="8">
        <v>49</v>
      </c>
      <c r="N11" s="8" t="s">
        <v>22</v>
      </c>
      <c r="O11" s="1">
        <f t="shared" si="11"/>
        <v>7.0999999999999994E-2</v>
      </c>
      <c r="P11" s="17">
        <f t="shared" si="2"/>
        <v>3.4789999999999996</v>
      </c>
      <c r="R11" s="1" t="s">
        <v>41</v>
      </c>
      <c r="S11" s="1">
        <f>SUM(S4:S10)</f>
        <v>1006</v>
      </c>
      <c r="T11" s="1" t="s">
        <v>22</v>
      </c>
      <c r="U11" s="1"/>
      <c r="V11" s="17">
        <f>SUM(V4:V10)</f>
        <v>7.8358699999999999</v>
      </c>
      <c r="X11" s="1" t="s">
        <v>41</v>
      </c>
      <c r="Y11" s="1">
        <f>SUM(Y4:Y10)</f>
        <v>2131.5</v>
      </c>
      <c r="Z11" s="1" t="s">
        <v>22</v>
      </c>
      <c r="AA11" s="1"/>
      <c r="AB11" s="17">
        <f>SUM(AB4:AB10)</f>
        <v>21.01605</v>
      </c>
      <c r="AD11" s="1" t="s">
        <v>80</v>
      </c>
      <c r="AE11" s="8">
        <v>22</v>
      </c>
      <c r="AF11" s="8" t="s">
        <v>22</v>
      </c>
      <c r="AG11" s="1">
        <f t="shared" si="8"/>
        <v>8.8999999999999996E-2</v>
      </c>
      <c r="AH11" s="17">
        <f t="shared" si="5"/>
        <v>1.958</v>
      </c>
      <c r="AJ11" s="1" t="s">
        <v>23</v>
      </c>
      <c r="AK11" s="8">
        <v>20</v>
      </c>
      <c r="AL11" s="8" t="s">
        <v>22</v>
      </c>
      <c r="AM11" s="1">
        <f t="shared" si="9"/>
        <v>0</v>
      </c>
      <c r="AN11" s="17">
        <f t="shared" si="6"/>
        <v>0</v>
      </c>
      <c r="AP11" s="1" t="s">
        <v>89</v>
      </c>
      <c r="AQ11" s="8">
        <v>20</v>
      </c>
      <c r="AR11" s="8" t="s">
        <v>22</v>
      </c>
      <c r="AS11" s="1">
        <f t="shared" si="10"/>
        <v>1.575E-2</v>
      </c>
      <c r="AT11" s="17">
        <f t="shared" si="7"/>
        <v>0.315</v>
      </c>
    </row>
    <row r="12" spans="1:46" x14ac:dyDescent="0.2">
      <c r="A12" s="1" t="s">
        <v>46</v>
      </c>
      <c r="B12" s="3">
        <v>24.61</v>
      </c>
      <c r="C12" s="5" t="s">
        <v>12</v>
      </c>
      <c r="D12" s="6">
        <f t="shared" si="0"/>
        <v>2.461E-2</v>
      </c>
      <c r="F12" s="1" t="s">
        <v>43</v>
      </c>
      <c r="G12" s="1"/>
      <c r="H12" s="1"/>
      <c r="I12" s="1"/>
      <c r="J12" s="20">
        <f>J11/G11</f>
        <v>7.9200697211155371E-3</v>
      </c>
      <c r="L12" s="1" t="s">
        <v>24</v>
      </c>
      <c r="M12" s="8">
        <v>49</v>
      </c>
      <c r="N12" s="8" t="s">
        <v>22</v>
      </c>
      <c r="O12" s="1">
        <f t="shared" si="11"/>
        <v>7.6060000000000003E-2</v>
      </c>
      <c r="P12" s="17">
        <f t="shared" si="2"/>
        <v>3.7269399999999999</v>
      </c>
      <c r="R12" s="1" t="s">
        <v>43</v>
      </c>
      <c r="S12" s="1"/>
      <c r="T12" s="1"/>
      <c r="U12" s="1"/>
      <c r="V12" s="20">
        <f>V11/S11</f>
        <v>7.7891351888667989E-3</v>
      </c>
      <c r="X12" s="1" t="s">
        <v>43</v>
      </c>
      <c r="Y12" s="1"/>
      <c r="Z12" s="1"/>
      <c r="AA12" s="1"/>
      <c r="AB12" s="20">
        <f>AB11/Y11</f>
        <v>9.8597466572836034E-3</v>
      </c>
      <c r="AD12" s="1" t="s">
        <v>89</v>
      </c>
      <c r="AE12" s="8">
        <v>22</v>
      </c>
      <c r="AF12" s="8" t="s">
        <v>22</v>
      </c>
      <c r="AG12" s="1">
        <f t="shared" si="8"/>
        <v>1.575E-2</v>
      </c>
      <c r="AH12" s="17">
        <f t="shared" si="5"/>
        <v>0.34650000000000003</v>
      </c>
      <c r="AJ12" s="1" t="s">
        <v>41</v>
      </c>
      <c r="AK12" s="1">
        <f>SUM(AK4:AK11)</f>
        <v>853</v>
      </c>
      <c r="AL12" s="8" t="s">
        <v>22</v>
      </c>
      <c r="AM12" s="1"/>
      <c r="AN12" s="17">
        <f>SUM(AN4:AN11)</f>
        <v>6.33772</v>
      </c>
      <c r="AP12" s="1" t="s">
        <v>41</v>
      </c>
      <c r="AQ12" s="1">
        <f>SUM(AQ4:AQ11)</f>
        <v>2271</v>
      </c>
      <c r="AR12" s="8" t="s">
        <v>22</v>
      </c>
      <c r="AS12" s="1"/>
      <c r="AT12" s="17" t="e">
        <f>SUM(AT4:AT11)</f>
        <v>#N/A</v>
      </c>
    </row>
    <row r="13" spans="1:46" x14ac:dyDescent="0.2">
      <c r="A13" s="1" t="s">
        <v>388</v>
      </c>
      <c r="B13" s="3">
        <v>13.5</v>
      </c>
      <c r="C13" s="5" t="s">
        <v>12</v>
      </c>
      <c r="D13" s="6">
        <f t="shared" si="0"/>
        <v>1.35E-2</v>
      </c>
      <c r="L13" s="1" t="s">
        <v>41</v>
      </c>
      <c r="M13" s="1">
        <f>SUM(M4:M12)</f>
        <v>1005.5</v>
      </c>
      <c r="N13" s="1" t="s">
        <v>22</v>
      </c>
      <c r="O13" s="1"/>
      <c r="P13" s="17">
        <f>SUM(P4:P12)</f>
        <v>18.936944999999998</v>
      </c>
      <c r="AD13" s="1" t="s">
        <v>93</v>
      </c>
      <c r="AE13" s="8">
        <v>22</v>
      </c>
      <c r="AF13" s="8" t="s">
        <v>22</v>
      </c>
      <c r="AG13" s="1">
        <f>_xlfn.XLOOKUP(AD13,$A$2:$A$114,$D$2:$D$114)</f>
        <v>3.6749999999999998E-2</v>
      </c>
      <c r="AH13" s="17">
        <f t="shared" si="5"/>
        <v>0.8085</v>
      </c>
      <c r="AJ13" s="1" t="s">
        <v>43</v>
      </c>
      <c r="AK13" s="1"/>
      <c r="AL13" s="1"/>
      <c r="AM13" s="1"/>
      <c r="AN13" s="20">
        <f>AN12/AK12</f>
        <v>7.4299179366940213E-3</v>
      </c>
      <c r="AP13" s="1" t="s">
        <v>43</v>
      </c>
      <c r="AQ13" s="1"/>
      <c r="AR13" s="1"/>
      <c r="AS13" s="1"/>
      <c r="AT13" s="20" t="e">
        <f>AT12/AQ12</f>
        <v>#N/A</v>
      </c>
    </row>
    <row r="14" spans="1:46" x14ac:dyDescent="0.2">
      <c r="A14" s="1" t="s">
        <v>30</v>
      </c>
      <c r="B14" s="3">
        <v>5.25</v>
      </c>
      <c r="C14" s="5" t="s">
        <v>12</v>
      </c>
      <c r="D14" s="6">
        <f t="shared" si="0"/>
        <v>5.2500000000000003E-3</v>
      </c>
      <c r="F14" s="92" t="s">
        <v>389</v>
      </c>
      <c r="G14" s="93"/>
      <c r="H14" s="93"/>
      <c r="I14" s="93"/>
      <c r="J14" s="94"/>
      <c r="L14" s="1" t="s">
        <v>43</v>
      </c>
      <c r="M14" s="1"/>
      <c r="N14" s="1"/>
      <c r="O14" s="1"/>
      <c r="P14" s="20">
        <f>P13/M13</f>
        <v>1.8833361511685725E-2</v>
      </c>
      <c r="R14" s="75" t="s">
        <v>389</v>
      </c>
      <c r="S14" s="76"/>
      <c r="T14" s="76"/>
      <c r="U14" s="76"/>
      <c r="V14" s="77"/>
      <c r="X14" s="79" t="s">
        <v>389</v>
      </c>
      <c r="Y14" s="80"/>
      <c r="Z14" s="80"/>
      <c r="AA14" s="80"/>
      <c r="AB14" s="81"/>
      <c r="AD14" s="1" t="s">
        <v>41</v>
      </c>
      <c r="AE14" s="1">
        <f>SUM(AE4:AE13)</f>
        <v>855</v>
      </c>
      <c r="AF14" s="8" t="s">
        <v>22</v>
      </c>
      <c r="AG14" s="1"/>
      <c r="AH14" s="17">
        <f>SUM(AH4:AH13)</f>
        <v>9.9281200000000016</v>
      </c>
    </row>
    <row r="15" spans="1:46" x14ac:dyDescent="0.2">
      <c r="A15" s="1" t="s">
        <v>55</v>
      </c>
      <c r="B15" s="3">
        <v>13.41</v>
      </c>
      <c r="C15" s="5" t="s">
        <v>12</v>
      </c>
      <c r="D15" s="6">
        <f t="shared" si="0"/>
        <v>1.341E-2</v>
      </c>
      <c r="F15" s="1" t="s">
        <v>23</v>
      </c>
      <c r="G15" s="1">
        <v>3500</v>
      </c>
      <c r="H15" s="1" t="s">
        <v>22</v>
      </c>
      <c r="I15" s="1">
        <f>_xlfn.XLOOKUP(F15,$A$2:$A$113,$D$2:$D$113)</f>
        <v>0</v>
      </c>
      <c r="J15" s="17">
        <f t="shared" ref="J15:J17" si="12">G15*I15</f>
        <v>0</v>
      </c>
      <c r="R15" s="1" t="s">
        <v>23</v>
      </c>
      <c r="S15" s="1">
        <v>3500</v>
      </c>
      <c r="T15" s="1" t="s">
        <v>22</v>
      </c>
      <c r="U15" s="1">
        <f>_xlfn.XLOOKUP(R15,$A$2:$A$113,$D$2:$D$113)</f>
        <v>0</v>
      </c>
      <c r="V15" s="17">
        <f t="shared" ref="V15:V17" si="13">S15*U15</f>
        <v>0</v>
      </c>
      <c r="X15" s="1" t="s">
        <v>23</v>
      </c>
      <c r="Y15" s="1">
        <v>3500</v>
      </c>
      <c r="Z15" s="1" t="s">
        <v>22</v>
      </c>
      <c r="AA15" s="1">
        <f>_xlfn.XLOOKUP(X15,$A$2:$A$113,$D$2:$D$113)</f>
        <v>0</v>
      </c>
      <c r="AB15" s="17">
        <f t="shared" ref="AB15:AB17" si="14">Y15*AA15</f>
        <v>0</v>
      </c>
      <c r="AD15" s="1" t="s">
        <v>43</v>
      </c>
      <c r="AE15" s="1"/>
      <c r="AF15" s="1"/>
      <c r="AG15" s="1"/>
      <c r="AH15" s="20">
        <f>AH14/AE14</f>
        <v>1.1611836257309943E-2</v>
      </c>
      <c r="AJ15" s="162" t="s">
        <v>389</v>
      </c>
      <c r="AK15" s="163"/>
      <c r="AL15" s="163"/>
      <c r="AM15" s="163"/>
      <c r="AN15" s="164"/>
      <c r="AP15" s="168" t="s">
        <v>389</v>
      </c>
      <c r="AQ15" s="169"/>
      <c r="AR15" s="169"/>
      <c r="AS15" s="169"/>
      <c r="AT15" s="170"/>
    </row>
    <row r="16" spans="1:46" x14ac:dyDescent="0.2">
      <c r="A16" s="1" t="s">
        <v>60</v>
      </c>
      <c r="B16" s="3">
        <v>107</v>
      </c>
      <c r="C16" s="5" t="s">
        <v>61</v>
      </c>
      <c r="D16" s="6">
        <f t="shared" si="0"/>
        <v>0.107</v>
      </c>
      <c r="F16" s="1" t="s">
        <v>21</v>
      </c>
      <c r="G16" s="1">
        <v>3500</v>
      </c>
      <c r="H16" s="1" t="s">
        <v>22</v>
      </c>
      <c r="I16" s="1">
        <f>_xlfn.XLOOKUP(F16,$A$2:$A$113,$D$2:$D$113)</f>
        <v>1.159E-2</v>
      </c>
      <c r="J16" s="17">
        <f t="shared" si="12"/>
        <v>40.564999999999998</v>
      </c>
      <c r="L16" s="82" t="s">
        <v>391</v>
      </c>
      <c r="M16" s="83"/>
      <c r="N16" s="83"/>
      <c r="O16" s="83"/>
      <c r="P16" s="84"/>
      <c r="R16" s="1" t="s">
        <v>21</v>
      </c>
      <c r="S16" s="1">
        <v>3500</v>
      </c>
      <c r="T16" s="1" t="s">
        <v>22</v>
      </c>
      <c r="U16" s="1">
        <f>_xlfn.XLOOKUP(R16,$A$2:$A$113,$D$2:$D$113)</f>
        <v>1.159E-2</v>
      </c>
      <c r="V16" s="17">
        <f t="shared" si="13"/>
        <v>40.564999999999998</v>
      </c>
      <c r="X16" s="1" t="s">
        <v>21</v>
      </c>
      <c r="Y16" s="1">
        <v>3500</v>
      </c>
      <c r="Z16" s="1" t="s">
        <v>22</v>
      </c>
      <c r="AA16" s="1">
        <f>_xlfn.XLOOKUP(X16,$A$2:$A$113,$D$2:$D$113)</f>
        <v>1.159E-2</v>
      </c>
      <c r="AB16" s="17">
        <f t="shared" si="14"/>
        <v>40.564999999999998</v>
      </c>
      <c r="AJ16" s="1" t="s">
        <v>23</v>
      </c>
      <c r="AK16" s="1">
        <v>3500</v>
      </c>
      <c r="AL16" s="1" t="s">
        <v>22</v>
      </c>
      <c r="AM16" s="1">
        <f>_xlfn.XLOOKUP(AJ16,$A$2:$A$113,$D$2:$D$113)</f>
        <v>0</v>
      </c>
      <c r="AN16" s="17">
        <f t="shared" ref="AN16:AN18" si="15">AK16*AM16</f>
        <v>0</v>
      </c>
      <c r="AP16" s="1" t="s">
        <v>23</v>
      </c>
      <c r="AQ16" s="1">
        <v>3500</v>
      </c>
      <c r="AR16" s="1" t="s">
        <v>22</v>
      </c>
      <c r="AS16" s="1">
        <f>_xlfn.XLOOKUP(AP16,$A$2:$A$113,$D$2:$D$113)</f>
        <v>0</v>
      </c>
      <c r="AT16" s="17">
        <f t="shared" ref="AT16:AT18" si="16">AQ16*AS16</f>
        <v>0</v>
      </c>
    </row>
    <row r="17" spans="1:46" x14ac:dyDescent="0.2">
      <c r="A17" s="1" t="s">
        <v>64</v>
      </c>
      <c r="B17" s="3">
        <v>37.9</v>
      </c>
      <c r="C17" s="5" t="s">
        <v>61</v>
      </c>
      <c r="D17" s="6">
        <f t="shared" si="0"/>
        <v>3.7899999999999996E-2</v>
      </c>
      <c r="F17" s="1" t="s">
        <v>46</v>
      </c>
      <c r="G17" s="1">
        <v>350</v>
      </c>
      <c r="H17" s="1" t="s">
        <v>22</v>
      </c>
      <c r="I17" s="1">
        <f>_xlfn.XLOOKUP(F17,$A$2:$A$113,$D$2:$D$113)</f>
        <v>2.461E-2</v>
      </c>
      <c r="J17" s="17">
        <f t="shared" si="12"/>
        <v>8.6135000000000002</v>
      </c>
      <c r="L17" s="1" t="s">
        <v>392</v>
      </c>
      <c r="M17" s="1">
        <v>1280</v>
      </c>
      <c r="N17" s="1" t="s">
        <v>22</v>
      </c>
      <c r="O17" s="1">
        <v>1.9E-2</v>
      </c>
      <c r="P17" s="1">
        <f>O17*M17</f>
        <v>24.32</v>
      </c>
      <c r="R17" s="1" t="s">
        <v>46</v>
      </c>
      <c r="S17" s="1">
        <v>350</v>
      </c>
      <c r="T17" s="1" t="s">
        <v>22</v>
      </c>
      <c r="U17" s="1">
        <f>_xlfn.XLOOKUP(R17,$A$2:$A$113,$D$2:$D$113)</f>
        <v>2.461E-2</v>
      </c>
      <c r="V17" s="17">
        <f t="shared" si="13"/>
        <v>8.6135000000000002</v>
      </c>
      <c r="X17" s="1" t="s">
        <v>46</v>
      </c>
      <c r="Y17" s="1">
        <v>350</v>
      </c>
      <c r="Z17" s="1" t="s">
        <v>22</v>
      </c>
      <c r="AA17" s="1">
        <f>_xlfn.XLOOKUP(X17,$A$2:$A$113,$D$2:$D$113)</f>
        <v>2.461E-2</v>
      </c>
      <c r="AB17" s="17">
        <f t="shared" si="14"/>
        <v>8.6135000000000002</v>
      </c>
      <c r="AD17" s="89" t="s">
        <v>389</v>
      </c>
      <c r="AE17" s="90"/>
      <c r="AF17" s="90"/>
      <c r="AG17" s="90"/>
      <c r="AH17" s="91"/>
      <c r="AJ17" s="1" t="s">
        <v>21</v>
      </c>
      <c r="AK17" s="1">
        <v>3500</v>
      </c>
      <c r="AL17" s="1" t="s">
        <v>22</v>
      </c>
      <c r="AM17" s="1">
        <f>_xlfn.XLOOKUP(AJ17,$A$2:$A$113,$D$2:$D$113)</f>
        <v>1.159E-2</v>
      </c>
      <c r="AN17" s="17">
        <f t="shared" si="15"/>
        <v>40.564999999999998</v>
      </c>
      <c r="AP17" s="1" t="s">
        <v>21</v>
      </c>
      <c r="AQ17" s="1">
        <v>3500</v>
      </c>
      <c r="AR17" s="1" t="s">
        <v>22</v>
      </c>
      <c r="AS17" s="1">
        <f>_xlfn.XLOOKUP(AP17,$A$2:$A$113,$D$2:$D$113)</f>
        <v>1.159E-2</v>
      </c>
      <c r="AT17" s="17">
        <f t="shared" si="16"/>
        <v>40.564999999999998</v>
      </c>
    </row>
    <row r="18" spans="1:46" x14ac:dyDescent="0.2">
      <c r="A18" s="1" t="s">
        <v>65</v>
      </c>
      <c r="B18" s="3">
        <v>29.7</v>
      </c>
      <c r="C18" s="5" t="s">
        <v>12</v>
      </c>
      <c r="D18" s="6">
        <f t="shared" si="0"/>
        <v>2.9700000000000001E-2</v>
      </c>
      <c r="F18" s="1" t="s">
        <v>41</v>
      </c>
      <c r="G18" s="1">
        <f>SUM(G15:G17)</f>
        <v>7350</v>
      </c>
      <c r="H18" s="1" t="s">
        <v>22</v>
      </c>
      <c r="I18" s="1"/>
      <c r="J18" s="17">
        <f>SUM(J15:J17)</f>
        <v>49.1785</v>
      </c>
      <c r="L18" s="1" t="s">
        <v>41</v>
      </c>
      <c r="M18" s="1"/>
      <c r="N18" s="1"/>
      <c r="O18" s="1"/>
      <c r="P18" s="21">
        <f>SUM(P17:P17)</f>
        <v>24.32</v>
      </c>
      <c r="R18" s="1" t="s">
        <v>41</v>
      </c>
      <c r="S18" s="1">
        <f>SUM(S15:S17)</f>
        <v>7350</v>
      </c>
      <c r="T18" s="1" t="s">
        <v>22</v>
      </c>
      <c r="U18" s="1"/>
      <c r="V18" s="17">
        <f>SUM(V15:V17)</f>
        <v>49.1785</v>
      </c>
      <c r="X18" s="1" t="s">
        <v>41</v>
      </c>
      <c r="Y18" s="1">
        <f>SUM(Y15:Y17)</f>
        <v>7350</v>
      </c>
      <c r="Z18" s="1" t="s">
        <v>22</v>
      </c>
      <c r="AA18" s="1"/>
      <c r="AB18" s="17">
        <f>SUM(AB15:AB17)</f>
        <v>49.1785</v>
      </c>
      <c r="AD18" s="1" t="s">
        <v>23</v>
      </c>
      <c r="AE18" s="1">
        <v>3500</v>
      </c>
      <c r="AF18" s="1" t="s">
        <v>22</v>
      </c>
      <c r="AG18" s="1">
        <f>_xlfn.XLOOKUP(AD18,$A$2:$A$113,$D$2:$D$113)</f>
        <v>0</v>
      </c>
      <c r="AH18" s="17">
        <f t="shared" ref="AH18:AH20" si="17">AE18*AG18</f>
        <v>0</v>
      </c>
      <c r="AJ18" s="1" t="s">
        <v>46</v>
      </c>
      <c r="AK18" s="1">
        <v>350</v>
      </c>
      <c r="AL18" s="1" t="s">
        <v>22</v>
      </c>
      <c r="AM18" s="1">
        <f>_xlfn.XLOOKUP(AJ18,$A$2:$A$113,$D$2:$D$113)</f>
        <v>2.461E-2</v>
      </c>
      <c r="AN18" s="17">
        <f t="shared" si="15"/>
        <v>8.6135000000000002</v>
      </c>
      <c r="AP18" s="1" t="s">
        <v>46</v>
      </c>
      <c r="AQ18" s="1">
        <v>350</v>
      </c>
      <c r="AR18" s="1" t="s">
        <v>22</v>
      </c>
      <c r="AS18" s="1">
        <f>_xlfn.XLOOKUP(AP18,$A$2:$A$113,$D$2:$D$113)</f>
        <v>2.461E-2</v>
      </c>
      <c r="AT18" s="17">
        <f t="shared" si="16"/>
        <v>8.6135000000000002</v>
      </c>
    </row>
    <row r="19" spans="1:46" x14ac:dyDescent="0.2">
      <c r="A19" s="1" t="s">
        <v>69</v>
      </c>
      <c r="B19" s="3">
        <v>32.39</v>
      </c>
      <c r="C19" s="5" t="s">
        <v>12</v>
      </c>
      <c r="D19" s="6">
        <f t="shared" si="0"/>
        <v>3.2390000000000002E-2</v>
      </c>
      <c r="F19" s="1" t="s">
        <v>43</v>
      </c>
      <c r="G19" s="1"/>
      <c r="H19" s="1"/>
      <c r="I19" s="1"/>
      <c r="J19" s="20">
        <f>J18/G18</f>
        <v>6.6909523809523808E-3</v>
      </c>
      <c r="R19" s="1" t="s">
        <v>43</v>
      </c>
      <c r="S19" s="1"/>
      <c r="T19" s="1"/>
      <c r="U19" s="1"/>
      <c r="V19" s="20">
        <f>V18/S18</f>
        <v>6.6909523809523808E-3</v>
      </c>
      <c r="X19" s="1" t="s">
        <v>43</v>
      </c>
      <c r="Y19" s="1"/>
      <c r="Z19" s="1"/>
      <c r="AA19" s="1"/>
      <c r="AB19" s="20">
        <f>AB18/Y18</f>
        <v>6.6909523809523808E-3</v>
      </c>
      <c r="AD19" s="1" t="s">
        <v>21</v>
      </c>
      <c r="AE19" s="1">
        <v>3500</v>
      </c>
      <c r="AF19" s="1" t="s">
        <v>22</v>
      </c>
      <c r="AG19" s="1">
        <f>_xlfn.XLOOKUP(AD19,$A$2:$A$113,$D$2:$D$113)</f>
        <v>1.159E-2</v>
      </c>
      <c r="AH19" s="17">
        <f t="shared" si="17"/>
        <v>40.564999999999998</v>
      </c>
      <c r="AJ19" s="1" t="s">
        <v>41</v>
      </c>
      <c r="AK19" s="1">
        <f>SUM(AK16:AK18)</f>
        <v>7350</v>
      </c>
      <c r="AL19" s="1" t="s">
        <v>22</v>
      </c>
      <c r="AM19" s="1"/>
      <c r="AN19" s="17">
        <f>SUM(AN16:AN18)</f>
        <v>49.1785</v>
      </c>
      <c r="AP19" s="1" t="s">
        <v>41</v>
      </c>
      <c r="AQ19" s="1">
        <f>SUM(AQ16:AQ18)</f>
        <v>7350</v>
      </c>
      <c r="AR19" s="1" t="s">
        <v>22</v>
      </c>
      <c r="AS19" s="1"/>
      <c r="AT19" s="17">
        <f>SUM(AT16:AT18)</f>
        <v>49.1785</v>
      </c>
    </row>
    <row r="20" spans="1:46" x14ac:dyDescent="0.2">
      <c r="A20" s="1" t="s">
        <v>71</v>
      </c>
      <c r="B20" s="3">
        <v>100.48</v>
      </c>
      <c r="C20" s="5" t="s">
        <v>12</v>
      </c>
      <c r="D20" s="6">
        <f t="shared" si="0"/>
        <v>0.10048</v>
      </c>
      <c r="L20" s="82" t="s">
        <v>393</v>
      </c>
      <c r="M20" s="83"/>
      <c r="N20" s="83"/>
      <c r="O20" s="83"/>
      <c r="P20" s="84"/>
      <c r="AD20" s="1" t="s">
        <v>46</v>
      </c>
      <c r="AE20" s="1">
        <v>350</v>
      </c>
      <c r="AF20" s="1" t="s">
        <v>22</v>
      </c>
      <c r="AG20" s="1">
        <f>_xlfn.XLOOKUP(AD20,$A$2:$A$113,$D$2:$D$113)</f>
        <v>2.461E-2</v>
      </c>
      <c r="AH20" s="17">
        <f t="shared" si="17"/>
        <v>8.6135000000000002</v>
      </c>
      <c r="AJ20" s="1" t="s">
        <v>43</v>
      </c>
      <c r="AK20" s="1"/>
      <c r="AL20" s="1"/>
      <c r="AM20" s="1"/>
      <c r="AN20" s="20">
        <f>AN19/AK19</f>
        <v>6.6909523809523808E-3</v>
      </c>
      <c r="AP20" s="1" t="s">
        <v>43</v>
      </c>
      <c r="AQ20" s="1"/>
      <c r="AR20" s="1"/>
      <c r="AS20" s="1"/>
      <c r="AT20" s="20">
        <f>AT19/AQ19</f>
        <v>6.6909523809523808E-3</v>
      </c>
    </row>
    <row r="21" spans="1:46" x14ac:dyDescent="0.2">
      <c r="A21" s="1" t="s">
        <v>75</v>
      </c>
      <c r="B21" s="3">
        <v>61.57</v>
      </c>
      <c r="C21" s="5" t="s">
        <v>12</v>
      </c>
      <c r="D21" s="6">
        <f t="shared" si="0"/>
        <v>6.157E-2</v>
      </c>
      <c r="F21" s="92" t="s">
        <v>394</v>
      </c>
      <c r="G21" s="93"/>
      <c r="H21" s="93"/>
      <c r="I21" s="93"/>
      <c r="J21" s="94"/>
      <c r="L21" s="1" t="s">
        <v>392</v>
      </c>
      <c r="M21" s="1">
        <v>100</v>
      </c>
      <c r="N21" s="1" t="s">
        <v>22</v>
      </c>
      <c r="O21" s="1">
        <v>1.9E-2</v>
      </c>
      <c r="P21" s="1">
        <f>O21*M21</f>
        <v>1.9</v>
      </c>
      <c r="R21" s="75" t="s">
        <v>395</v>
      </c>
      <c r="S21" s="76"/>
      <c r="T21" s="76"/>
      <c r="U21" s="76"/>
      <c r="V21" s="77"/>
      <c r="X21" s="79" t="s">
        <v>396</v>
      </c>
      <c r="Y21" s="80"/>
      <c r="Z21" s="80"/>
      <c r="AA21" s="80"/>
      <c r="AB21" s="81"/>
      <c r="AD21" s="1" t="s">
        <v>41</v>
      </c>
      <c r="AE21" s="1">
        <f>SUM(AE18:AE20)</f>
        <v>7350</v>
      </c>
      <c r="AF21" s="1" t="s">
        <v>22</v>
      </c>
      <c r="AG21" s="1"/>
      <c r="AH21" s="17">
        <f>SUM(AH18:AH20)</f>
        <v>49.1785</v>
      </c>
    </row>
    <row r="22" spans="1:46" x14ac:dyDescent="0.2">
      <c r="A22" s="1" t="s">
        <v>76</v>
      </c>
      <c r="B22" s="3">
        <v>81.03</v>
      </c>
      <c r="C22" s="5" t="s">
        <v>12</v>
      </c>
      <c r="D22" s="6">
        <f t="shared" si="0"/>
        <v>8.1030000000000005E-2</v>
      </c>
      <c r="F22" s="1" t="s">
        <v>388</v>
      </c>
      <c r="G22" s="1">
        <v>423</v>
      </c>
      <c r="H22" s="1" t="s">
        <v>22</v>
      </c>
      <c r="I22" s="1">
        <f>_xlfn.XLOOKUP(F22,$A$2:$A$114,$D$2:$D$114)</f>
        <v>1.35E-2</v>
      </c>
      <c r="J22" s="17">
        <f t="shared" ref="J22:J25" si="18">G22*I22</f>
        <v>5.7104999999999997</v>
      </c>
      <c r="L22" s="1" t="s">
        <v>41</v>
      </c>
      <c r="M22" s="1"/>
      <c r="N22" s="1"/>
      <c r="O22" s="1"/>
      <c r="P22" s="21">
        <f>SUM(P21:P21)</f>
        <v>1.9</v>
      </c>
      <c r="R22" s="1" t="s">
        <v>383</v>
      </c>
      <c r="S22" s="1">
        <v>850</v>
      </c>
      <c r="T22" s="1" t="s">
        <v>22</v>
      </c>
      <c r="U22" s="1">
        <v>8.0000000000000002E-3</v>
      </c>
      <c r="V22" s="1">
        <f>U22*S22</f>
        <v>6.8</v>
      </c>
      <c r="X22" s="1" t="s">
        <v>384</v>
      </c>
      <c r="Y22" s="1">
        <v>178</v>
      </c>
      <c r="Z22" s="1" t="s">
        <v>22</v>
      </c>
      <c r="AA22" s="1">
        <v>0.01</v>
      </c>
      <c r="AB22" s="1">
        <f>AA22*Y22</f>
        <v>1.78</v>
      </c>
      <c r="AD22" s="1" t="s">
        <v>43</v>
      </c>
      <c r="AE22" s="1"/>
      <c r="AF22" s="1"/>
      <c r="AG22" s="1"/>
      <c r="AH22" s="20">
        <f>AH21/AE21</f>
        <v>6.6909523809523808E-3</v>
      </c>
      <c r="AJ22" s="162" t="s">
        <v>397</v>
      </c>
      <c r="AK22" s="163"/>
      <c r="AL22" s="163"/>
      <c r="AM22" s="163"/>
      <c r="AN22" s="164"/>
      <c r="AP22" s="168" t="s">
        <v>397</v>
      </c>
      <c r="AQ22" s="169"/>
      <c r="AR22" s="169"/>
      <c r="AS22" s="169"/>
      <c r="AT22" s="170"/>
    </row>
    <row r="23" spans="1:46" x14ac:dyDescent="0.2">
      <c r="A23" s="1" t="s">
        <v>77</v>
      </c>
      <c r="B23" s="3">
        <v>106.04</v>
      </c>
      <c r="C23" s="5" t="s">
        <v>12</v>
      </c>
      <c r="D23" s="6">
        <f t="shared" si="0"/>
        <v>0.10604000000000001</v>
      </c>
      <c r="F23" s="1" t="s">
        <v>30</v>
      </c>
      <c r="G23" s="1">
        <v>5.65</v>
      </c>
      <c r="H23" s="1" t="s">
        <v>22</v>
      </c>
      <c r="I23" s="1">
        <f t="shared" ref="I23:I25" si="19">_xlfn.XLOOKUP(F23,$A$2:$A$114,$D$2:$D$114)</f>
        <v>5.2500000000000003E-3</v>
      </c>
      <c r="J23" s="17">
        <f t="shared" si="18"/>
        <v>2.9662500000000005E-2</v>
      </c>
      <c r="R23" s="1" t="s">
        <v>41</v>
      </c>
      <c r="S23" s="1"/>
      <c r="T23" s="1"/>
      <c r="U23" s="1"/>
      <c r="V23" s="21">
        <f>SUM(V22:V22)</f>
        <v>6.8</v>
      </c>
      <c r="X23" s="1" t="s">
        <v>41</v>
      </c>
      <c r="Y23" s="1"/>
      <c r="Z23" s="1"/>
      <c r="AA23" s="1"/>
      <c r="AB23" s="21">
        <f>SUM(AB22:AB22)</f>
        <v>1.78</v>
      </c>
      <c r="AJ23" s="1" t="s">
        <v>398</v>
      </c>
      <c r="AK23" s="1">
        <v>850</v>
      </c>
      <c r="AL23" s="1" t="s">
        <v>22</v>
      </c>
      <c r="AM23" s="1">
        <v>7.0000000000000001E-3</v>
      </c>
      <c r="AN23" s="1">
        <f>AM23*AK23</f>
        <v>5.95</v>
      </c>
      <c r="AP23" s="1" t="s">
        <v>398</v>
      </c>
      <c r="AQ23" s="1">
        <v>850</v>
      </c>
      <c r="AR23" s="1" t="s">
        <v>22</v>
      </c>
      <c r="AS23" s="1">
        <v>7.0000000000000001E-3</v>
      </c>
      <c r="AT23" s="1">
        <f>AS23*AQ23</f>
        <v>5.95</v>
      </c>
    </row>
    <row r="24" spans="1:46" x14ac:dyDescent="0.2">
      <c r="A24" s="1" t="s">
        <v>80</v>
      </c>
      <c r="B24" s="3">
        <v>89</v>
      </c>
      <c r="C24" s="5" t="s">
        <v>12</v>
      </c>
      <c r="D24" s="6">
        <f t="shared" si="0"/>
        <v>8.8999999999999996E-2</v>
      </c>
      <c r="F24" s="1" t="s">
        <v>65</v>
      </c>
      <c r="G24" s="1">
        <v>7.05</v>
      </c>
      <c r="H24" s="1" t="s">
        <v>22</v>
      </c>
      <c r="I24" s="1">
        <f t="shared" si="19"/>
        <v>2.9700000000000001E-2</v>
      </c>
      <c r="J24" s="17">
        <f t="shared" si="18"/>
        <v>0.20938499999999999</v>
      </c>
      <c r="L24" s="82" t="s">
        <v>399</v>
      </c>
      <c r="M24" s="83"/>
      <c r="N24" s="83"/>
      <c r="O24" s="83"/>
      <c r="P24" s="84"/>
      <c r="AD24" s="89" t="s">
        <v>400</v>
      </c>
      <c r="AE24" s="90"/>
      <c r="AF24" s="90"/>
      <c r="AG24" s="90"/>
      <c r="AH24" s="91"/>
      <c r="AJ24" s="1" t="s">
        <v>41</v>
      </c>
      <c r="AK24" s="1"/>
      <c r="AL24" s="1"/>
      <c r="AM24" s="1"/>
      <c r="AN24" s="21">
        <f>SUM(AN23:AN23)</f>
        <v>5.95</v>
      </c>
      <c r="AP24" s="1" t="s">
        <v>41</v>
      </c>
      <c r="AQ24" s="1"/>
      <c r="AR24" s="1"/>
      <c r="AS24" s="1"/>
      <c r="AT24" s="21">
        <f>SUM(AT23:AT23)</f>
        <v>5.95</v>
      </c>
    </row>
    <row r="25" spans="1:46" x14ac:dyDescent="0.2">
      <c r="A25" s="1" t="s">
        <v>85</v>
      </c>
      <c r="B25" s="3">
        <v>26.5</v>
      </c>
      <c r="C25" s="5" t="s">
        <v>12</v>
      </c>
      <c r="D25" s="6">
        <f t="shared" si="0"/>
        <v>2.6499999999999999E-2</v>
      </c>
      <c r="F25" s="1" t="s">
        <v>23</v>
      </c>
      <c r="G25" s="1">
        <v>565</v>
      </c>
      <c r="H25" s="1" t="s">
        <v>22</v>
      </c>
      <c r="I25" s="1">
        <f t="shared" si="19"/>
        <v>0</v>
      </c>
      <c r="J25" s="17">
        <f t="shared" si="18"/>
        <v>0</v>
      </c>
      <c r="L25" s="1" t="s">
        <v>392</v>
      </c>
      <c r="M25" s="1">
        <v>100</v>
      </c>
      <c r="N25" s="1" t="s">
        <v>22</v>
      </c>
      <c r="O25" s="1">
        <v>1.9E-2</v>
      </c>
      <c r="P25" s="1">
        <f>O25*M25</f>
        <v>1.9</v>
      </c>
      <c r="R25" s="75" t="s">
        <v>127</v>
      </c>
      <c r="S25" s="76"/>
      <c r="T25" s="76"/>
      <c r="U25" s="76"/>
      <c r="V25" s="77"/>
      <c r="X25" s="79" t="s">
        <v>127</v>
      </c>
      <c r="Y25" s="80"/>
      <c r="Z25" s="80"/>
      <c r="AA25" s="80"/>
      <c r="AB25" s="81"/>
      <c r="AD25" s="1" t="s">
        <v>401</v>
      </c>
      <c r="AE25" s="1">
        <v>850</v>
      </c>
      <c r="AF25" s="1" t="s">
        <v>22</v>
      </c>
      <c r="AG25" s="1">
        <v>0.01</v>
      </c>
      <c r="AH25" s="1">
        <f>AG25*AE25</f>
        <v>8.5</v>
      </c>
    </row>
    <row r="26" spans="1:46" x14ac:dyDescent="0.2">
      <c r="A26" s="1" t="s">
        <v>89</v>
      </c>
      <c r="B26" s="3">
        <v>15.75</v>
      </c>
      <c r="C26" s="5" t="s">
        <v>12</v>
      </c>
      <c r="D26" s="6">
        <f t="shared" si="0"/>
        <v>1.575E-2</v>
      </c>
      <c r="F26" s="1" t="s">
        <v>41</v>
      </c>
      <c r="G26" s="1">
        <f>SUM(G22:G25)</f>
        <v>1000.7</v>
      </c>
      <c r="H26" s="1" t="s">
        <v>22</v>
      </c>
      <c r="I26" s="1"/>
      <c r="J26" s="17">
        <f>SUM(J22:J25)</f>
        <v>5.9495474999999995</v>
      </c>
      <c r="L26" s="1" t="s">
        <v>41</v>
      </c>
      <c r="M26" s="1"/>
      <c r="N26" s="1"/>
      <c r="O26" s="1"/>
      <c r="P26" s="21">
        <f>SUM(P25:P25)</f>
        <v>1.9</v>
      </c>
      <c r="R26" s="1" t="s">
        <v>402</v>
      </c>
      <c r="S26" s="1">
        <v>130</v>
      </c>
      <c r="T26" s="1" t="s">
        <v>129</v>
      </c>
      <c r="U26" s="55">
        <v>48</v>
      </c>
      <c r="V26" s="56"/>
      <c r="X26" s="1" t="s">
        <v>402</v>
      </c>
      <c r="Y26" s="1">
        <v>180</v>
      </c>
      <c r="Z26" s="1" t="s">
        <v>129</v>
      </c>
      <c r="AA26" s="55">
        <v>240</v>
      </c>
      <c r="AB26" s="56"/>
      <c r="AD26" s="1" t="s">
        <v>41</v>
      </c>
      <c r="AE26" s="1"/>
      <c r="AF26" s="1"/>
      <c r="AG26" s="1"/>
      <c r="AH26" s="21">
        <f>SUM(AH25:AH25)</f>
        <v>8.5</v>
      </c>
      <c r="AJ26" s="162" t="s">
        <v>127</v>
      </c>
      <c r="AK26" s="163"/>
      <c r="AL26" s="163"/>
      <c r="AM26" s="163"/>
      <c r="AN26" s="164"/>
      <c r="AP26" s="168" t="s">
        <v>127</v>
      </c>
      <c r="AQ26" s="169"/>
      <c r="AR26" s="169"/>
      <c r="AS26" s="169"/>
      <c r="AT26" s="170"/>
    </row>
    <row r="27" spans="1:46" x14ac:dyDescent="0.2">
      <c r="A27" s="1" t="s">
        <v>91</v>
      </c>
      <c r="B27" s="3">
        <v>49.85</v>
      </c>
      <c r="C27" s="5" t="s">
        <v>12</v>
      </c>
      <c r="D27" s="6">
        <f t="shared" si="0"/>
        <v>4.9849999999999998E-2</v>
      </c>
      <c r="F27" s="1" t="s">
        <v>43</v>
      </c>
      <c r="G27" s="1"/>
      <c r="H27" s="1"/>
      <c r="I27" s="1"/>
      <c r="J27" s="20">
        <f>J26/G26</f>
        <v>5.9453857299890068E-3</v>
      </c>
      <c r="R27" s="47" t="s">
        <v>240</v>
      </c>
      <c r="S27" s="48">
        <f>S26/U26</f>
        <v>2.7083333333333335</v>
      </c>
      <c r="T27" s="47" t="s">
        <v>129</v>
      </c>
      <c r="U27" s="145" t="s">
        <v>403</v>
      </c>
      <c r="V27" s="146"/>
      <c r="X27" s="47" t="s">
        <v>240</v>
      </c>
      <c r="Y27" s="48">
        <f>Y26/AA26</f>
        <v>0.75</v>
      </c>
      <c r="Z27" s="47" t="s">
        <v>129</v>
      </c>
      <c r="AA27" s="145" t="s">
        <v>404</v>
      </c>
      <c r="AB27" s="146"/>
      <c r="AJ27" s="1" t="s">
        <v>402</v>
      </c>
      <c r="AK27" s="1">
        <v>45</v>
      </c>
      <c r="AL27" s="1" t="s">
        <v>129</v>
      </c>
      <c r="AM27" s="55">
        <v>16</v>
      </c>
      <c r="AN27" s="56"/>
      <c r="AP27" s="1" t="s">
        <v>402</v>
      </c>
      <c r="AQ27" s="1">
        <v>65</v>
      </c>
      <c r="AR27" s="1" t="s">
        <v>129</v>
      </c>
      <c r="AS27" s="55">
        <v>25</v>
      </c>
      <c r="AT27" s="56"/>
    </row>
    <row r="28" spans="1:46" x14ac:dyDescent="0.2">
      <c r="A28" s="1" t="s">
        <v>93</v>
      </c>
      <c r="B28" s="3">
        <v>36.75</v>
      </c>
      <c r="C28" s="5" t="s">
        <v>12</v>
      </c>
      <c r="D28" s="6">
        <f t="shared" si="0"/>
        <v>3.6749999999999998E-2</v>
      </c>
      <c r="L28" s="82" t="s">
        <v>405</v>
      </c>
      <c r="M28" s="83"/>
      <c r="N28" s="83"/>
      <c r="O28" s="83"/>
      <c r="P28" s="84"/>
      <c r="AD28" s="89" t="s">
        <v>127</v>
      </c>
      <c r="AE28" s="90"/>
      <c r="AF28" s="90"/>
      <c r="AG28" s="90"/>
      <c r="AH28" s="91"/>
      <c r="AJ28" s="33" t="s">
        <v>240</v>
      </c>
      <c r="AK28" s="34">
        <f>AK27/AM27</f>
        <v>2.8125</v>
      </c>
      <c r="AL28" s="33" t="s">
        <v>129</v>
      </c>
      <c r="AM28" s="57" t="s">
        <v>406</v>
      </c>
      <c r="AN28" s="58"/>
      <c r="AP28" s="33" t="s">
        <v>240</v>
      </c>
      <c r="AQ28" s="34">
        <f>AQ27/AS27</f>
        <v>2.6</v>
      </c>
      <c r="AR28" s="33" t="s">
        <v>129</v>
      </c>
      <c r="AS28" s="57" t="s">
        <v>511</v>
      </c>
      <c r="AT28" s="58"/>
    </row>
    <row r="29" spans="1:46" x14ac:dyDescent="0.2">
      <c r="A29" s="1" t="s">
        <v>95</v>
      </c>
      <c r="B29" s="3">
        <v>98.75</v>
      </c>
      <c r="C29" s="5" t="s">
        <v>12</v>
      </c>
      <c r="D29" s="6">
        <f t="shared" si="0"/>
        <v>9.8750000000000004E-2</v>
      </c>
      <c r="F29" s="92" t="s">
        <v>407</v>
      </c>
      <c r="G29" s="93"/>
      <c r="H29" s="93"/>
      <c r="I29" s="93"/>
      <c r="J29" s="94"/>
      <c r="L29" s="1" t="s">
        <v>402</v>
      </c>
      <c r="M29" s="1">
        <v>230</v>
      </c>
      <c r="N29" s="1" t="s">
        <v>129</v>
      </c>
      <c r="O29" s="55">
        <v>90</v>
      </c>
      <c r="P29" s="56"/>
      <c r="R29" s="75" t="s">
        <v>376</v>
      </c>
      <c r="S29" s="77"/>
      <c r="X29" s="79" t="s">
        <v>377</v>
      </c>
      <c r="Y29" s="81"/>
      <c r="AD29" s="1" t="s">
        <v>402</v>
      </c>
      <c r="AE29" s="1">
        <v>45</v>
      </c>
      <c r="AF29" s="1" t="s">
        <v>129</v>
      </c>
      <c r="AG29" s="55">
        <v>16</v>
      </c>
      <c r="AH29" s="56"/>
    </row>
    <row r="30" spans="1:46" x14ac:dyDescent="0.2">
      <c r="A30" s="1" t="s">
        <v>96</v>
      </c>
      <c r="B30" s="3">
        <v>498</v>
      </c>
      <c r="C30" s="5" t="s">
        <v>97</v>
      </c>
      <c r="D30" s="7">
        <f t="shared" si="0"/>
        <v>0.498</v>
      </c>
      <c r="F30" s="1" t="s">
        <v>381</v>
      </c>
      <c r="G30" s="1">
        <v>120</v>
      </c>
      <c r="H30" s="1" t="s">
        <v>22</v>
      </c>
      <c r="I30" s="1">
        <v>8.0000000000000002E-3</v>
      </c>
      <c r="J30" s="1">
        <f>I30*G30</f>
        <v>0.96</v>
      </c>
      <c r="L30" s="47" t="s">
        <v>240</v>
      </c>
      <c r="M30" s="48">
        <f>M29/O29</f>
        <v>2.5555555555555554</v>
      </c>
      <c r="N30" s="47" t="s">
        <v>129</v>
      </c>
      <c r="O30" s="145" t="s">
        <v>408</v>
      </c>
      <c r="P30" s="146"/>
      <c r="R30" s="45" t="s">
        <v>415</v>
      </c>
      <c r="S30" s="43">
        <f>V23</f>
        <v>6.8</v>
      </c>
      <c r="X30" s="45" t="s">
        <v>415</v>
      </c>
      <c r="Y30" s="43">
        <f>AB23</f>
        <v>1.78</v>
      </c>
      <c r="AD30" s="47" t="s">
        <v>240</v>
      </c>
      <c r="AE30" s="48">
        <f>AE29/AG29</f>
        <v>2.8125</v>
      </c>
      <c r="AF30" s="47" t="s">
        <v>129</v>
      </c>
      <c r="AG30" s="145" t="s">
        <v>409</v>
      </c>
      <c r="AH30" s="146"/>
      <c r="AJ30" s="171" t="s">
        <v>518</v>
      </c>
      <c r="AK30" s="172"/>
      <c r="AP30" s="173" t="s">
        <v>516</v>
      </c>
      <c r="AQ30" s="174"/>
    </row>
    <row r="31" spans="1:46" x14ac:dyDescent="0.2">
      <c r="A31" s="1" t="s">
        <v>38</v>
      </c>
      <c r="B31" s="3">
        <v>385</v>
      </c>
      <c r="C31" s="5" t="s">
        <v>12</v>
      </c>
      <c r="D31" s="6">
        <f t="shared" si="0"/>
        <v>0.38500000000000001</v>
      </c>
      <c r="F31" s="1" t="s">
        <v>410</v>
      </c>
      <c r="G31" s="1">
        <v>40</v>
      </c>
      <c r="H31" s="1" t="s">
        <v>22</v>
      </c>
      <c r="I31" s="1">
        <v>6.0000000000000001E-3</v>
      </c>
      <c r="J31" s="1">
        <f t="shared" ref="J31" si="20">I31*G31</f>
        <v>0.24</v>
      </c>
      <c r="R31" s="5" t="s">
        <v>496</v>
      </c>
      <c r="S31" s="1">
        <f>I38*S27</f>
        <v>16.927083333333336</v>
      </c>
      <c r="X31" s="5" t="s">
        <v>496</v>
      </c>
      <c r="Y31" s="1">
        <f>Y27*I38</f>
        <v>4.6875</v>
      </c>
      <c r="AJ31" s="45" t="s">
        <v>415</v>
      </c>
      <c r="AK31" s="43">
        <f>AN24</f>
        <v>5.95</v>
      </c>
      <c r="AP31" s="45" t="s">
        <v>415</v>
      </c>
      <c r="AQ31" s="43">
        <f>AT24</f>
        <v>5.95</v>
      </c>
    </row>
    <row r="32" spans="1:46" x14ac:dyDescent="0.2">
      <c r="A32" s="1" t="s">
        <v>100</v>
      </c>
      <c r="B32" s="3">
        <v>247.35</v>
      </c>
      <c r="C32" s="5" t="s">
        <v>12</v>
      </c>
      <c r="D32" s="6">
        <f t="shared" si="0"/>
        <v>0.24734999999999999</v>
      </c>
      <c r="F32" s="1" t="s">
        <v>41</v>
      </c>
      <c r="G32" s="1"/>
      <c r="H32" s="1"/>
      <c r="I32" s="1"/>
      <c r="J32" s="21">
        <f>SUM(J30:J31)</f>
        <v>1.2</v>
      </c>
      <c r="L32" s="82" t="s">
        <v>411</v>
      </c>
      <c r="M32" s="83"/>
      <c r="N32" s="83"/>
      <c r="O32" s="83"/>
      <c r="P32" s="84"/>
      <c r="R32" s="46" t="s">
        <v>512</v>
      </c>
      <c r="S32" s="21">
        <f>SUM(S30:S31)</f>
        <v>23.727083333333336</v>
      </c>
      <c r="X32" s="46" t="s">
        <v>515</v>
      </c>
      <c r="Y32" s="21">
        <f>SUM(Y30:Y31)</f>
        <v>6.4675000000000002</v>
      </c>
      <c r="AD32" s="89" t="s">
        <v>513</v>
      </c>
      <c r="AE32" s="91"/>
      <c r="AJ32" s="5" t="s">
        <v>496</v>
      </c>
      <c r="AK32" s="1">
        <f>AK28*I38</f>
        <v>17.578125</v>
      </c>
      <c r="AP32" s="5" t="s">
        <v>496</v>
      </c>
      <c r="AQ32" s="1">
        <f>AQ28*I38</f>
        <v>16.25</v>
      </c>
    </row>
    <row r="33" spans="1:43" x14ac:dyDescent="0.2">
      <c r="A33" s="1" t="s">
        <v>104</v>
      </c>
      <c r="B33" s="3">
        <v>298.3</v>
      </c>
      <c r="C33" s="5" t="s">
        <v>12</v>
      </c>
      <c r="D33" s="6">
        <f t="shared" si="0"/>
        <v>0.29830000000000001</v>
      </c>
      <c r="L33" s="1" t="s">
        <v>402</v>
      </c>
      <c r="M33" s="1">
        <v>290</v>
      </c>
      <c r="N33" s="1" t="s">
        <v>129</v>
      </c>
      <c r="O33" s="55">
        <v>168</v>
      </c>
      <c r="P33" s="56"/>
      <c r="AD33" s="45" t="s">
        <v>415</v>
      </c>
      <c r="AE33" s="43">
        <f>AH26</f>
        <v>8.5</v>
      </c>
      <c r="AJ33" s="46" t="s">
        <v>519</v>
      </c>
      <c r="AK33" s="21">
        <f>SUM(AK31:AK32)</f>
        <v>23.528124999999999</v>
      </c>
      <c r="AP33" s="46" t="s">
        <v>517</v>
      </c>
      <c r="AQ33" s="21">
        <f>SUM(AQ31:AQ32)</f>
        <v>22.2</v>
      </c>
    </row>
    <row r="34" spans="1:43" x14ac:dyDescent="0.2">
      <c r="A34" s="1" t="s">
        <v>48</v>
      </c>
      <c r="B34" s="3">
        <v>281.25</v>
      </c>
      <c r="C34" s="5" t="s">
        <v>12</v>
      </c>
      <c r="D34" s="6">
        <f t="shared" si="0"/>
        <v>0.28125</v>
      </c>
      <c r="F34" s="92" t="s">
        <v>127</v>
      </c>
      <c r="G34" s="93"/>
      <c r="H34" s="93"/>
      <c r="I34" s="93"/>
      <c r="J34" s="94"/>
      <c r="L34" s="47" t="s">
        <v>240</v>
      </c>
      <c r="M34" s="48">
        <f>M33/O33</f>
        <v>1.7261904761904763</v>
      </c>
      <c r="N34" s="47" t="s">
        <v>129</v>
      </c>
      <c r="O34" s="145" t="s">
        <v>412</v>
      </c>
      <c r="P34" s="146"/>
      <c r="AD34" s="5" t="s">
        <v>496</v>
      </c>
      <c r="AE34" s="1">
        <f>AE30*I38</f>
        <v>17.578125</v>
      </c>
    </row>
    <row r="35" spans="1:43" x14ac:dyDescent="0.2">
      <c r="A35" s="1" t="s">
        <v>105</v>
      </c>
      <c r="B35" s="3">
        <v>299.16000000000003</v>
      </c>
      <c r="C35" s="5" t="s">
        <v>12</v>
      </c>
      <c r="D35" s="6">
        <f t="shared" si="0"/>
        <v>0.29916000000000004</v>
      </c>
      <c r="F35" s="1" t="s">
        <v>402</v>
      </c>
      <c r="G35" s="1">
        <v>90</v>
      </c>
      <c r="H35" s="1" t="s">
        <v>129</v>
      </c>
      <c r="I35" s="55">
        <v>160</v>
      </c>
      <c r="J35" s="56"/>
      <c r="AD35" s="46" t="s">
        <v>514</v>
      </c>
      <c r="AE35" s="21">
        <f>SUM(AE33:AE34)</f>
        <v>26.078125</v>
      </c>
    </row>
    <row r="36" spans="1:43" ht="27.75" x14ac:dyDescent="0.2">
      <c r="A36" s="2" t="s">
        <v>106</v>
      </c>
      <c r="B36" s="3">
        <v>432.5</v>
      </c>
      <c r="C36" s="5" t="s">
        <v>12</v>
      </c>
      <c r="D36" s="6">
        <f t="shared" si="0"/>
        <v>0.4325</v>
      </c>
      <c r="F36" s="47" t="s">
        <v>240</v>
      </c>
      <c r="G36" s="48">
        <f>G35/I35</f>
        <v>0.5625</v>
      </c>
      <c r="H36" s="47" t="s">
        <v>129</v>
      </c>
      <c r="I36" s="145" t="s">
        <v>413</v>
      </c>
      <c r="J36" s="146"/>
      <c r="L36" s="82" t="s">
        <v>414</v>
      </c>
      <c r="M36" s="83"/>
      <c r="N36" s="83"/>
      <c r="O36" s="83"/>
      <c r="P36" s="84"/>
    </row>
    <row r="37" spans="1:43" x14ac:dyDescent="0.2">
      <c r="A37" s="2" t="s">
        <v>107</v>
      </c>
      <c r="B37" s="3">
        <v>317</v>
      </c>
      <c r="C37" s="5" t="s">
        <v>12</v>
      </c>
      <c r="D37" s="6">
        <f t="shared" si="0"/>
        <v>0.317</v>
      </c>
      <c r="L37" s="1" t="s">
        <v>402</v>
      </c>
      <c r="M37" s="1">
        <v>250</v>
      </c>
      <c r="N37" s="1" t="s">
        <v>129</v>
      </c>
      <c r="O37" s="55">
        <v>200</v>
      </c>
      <c r="P37" s="56"/>
    </row>
    <row r="38" spans="1:43" x14ac:dyDescent="0.2">
      <c r="A38" s="2" t="s">
        <v>66</v>
      </c>
      <c r="B38" s="3">
        <v>356</v>
      </c>
      <c r="C38" s="5" t="s">
        <v>12</v>
      </c>
      <c r="D38" s="6">
        <f t="shared" si="0"/>
        <v>0.35599999999999998</v>
      </c>
      <c r="F38" s="1" t="s">
        <v>503</v>
      </c>
      <c r="G38" s="1">
        <v>375</v>
      </c>
      <c r="H38" s="1" t="s">
        <v>494</v>
      </c>
      <c r="I38" s="1">
        <f>G38/60</f>
        <v>6.25</v>
      </c>
      <c r="J38" s="1" t="s">
        <v>129</v>
      </c>
      <c r="L38" s="47" t="s">
        <v>240</v>
      </c>
      <c r="M38" s="48">
        <f>M37/O37</f>
        <v>1.25</v>
      </c>
      <c r="N38" s="47" t="s">
        <v>129</v>
      </c>
      <c r="O38" s="145" t="s">
        <v>412</v>
      </c>
      <c r="P38" s="146"/>
    </row>
    <row r="39" spans="1:43" x14ac:dyDescent="0.2">
      <c r="A39" s="2" t="s">
        <v>36</v>
      </c>
      <c r="B39" s="3">
        <v>329</v>
      </c>
      <c r="C39" s="5" t="s">
        <v>12</v>
      </c>
      <c r="D39" s="6">
        <f t="shared" si="0"/>
        <v>0.32900000000000001</v>
      </c>
    </row>
    <row r="40" spans="1:43" x14ac:dyDescent="0.2">
      <c r="A40" s="2" t="s">
        <v>111</v>
      </c>
      <c r="B40" s="3">
        <v>329.8</v>
      </c>
      <c r="C40" s="5" t="s">
        <v>12</v>
      </c>
      <c r="D40" s="6">
        <f t="shared" si="0"/>
        <v>0.32980000000000004</v>
      </c>
      <c r="F40" s="92" t="s">
        <v>374</v>
      </c>
      <c r="G40" s="94"/>
      <c r="H40" s="44"/>
      <c r="I40" s="44"/>
      <c r="J40" s="44"/>
      <c r="L40" s="82" t="s">
        <v>507</v>
      </c>
      <c r="M40" s="84"/>
    </row>
    <row r="41" spans="1:43" x14ac:dyDescent="0.2">
      <c r="A41" s="1" t="s">
        <v>113</v>
      </c>
      <c r="B41" s="3">
        <v>445.5</v>
      </c>
      <c r="C41" s="5" t="s">
        <v>12</v>
      </c>
      <c r="D41" s="6">
        <f t="shared" si="0"/>
        <v>0.44550000000000001</v>
      </c>
      <c r="F41" s="45" t="s">
        <v>415</v>
      </c>
      <c r="G41" s="43">
        <f>J32</f>
        <v>1.2</v>
      </c>
      <c r="L41" s="45" t="s">
        <v>415</v>
      </c>
      <c r="M41" s="43">
        <f>P18</f>
        <v>24.32</v>
      </c>
    </row>
    <row r="42" spans="1:43" x14ac:dyDescent="0.2">
      <c r="A42" s="1" t="s">
        <v>115</v>
      </c>
      <c r="B42" s="3">
        <v>24.09</v>
      </c>
      <c r="C42" s="5" t="s">
        <v>12</v>
      </c>
      <c r="D42" s="6">
        <f t="shared" si="0"/>
        <v>2.409E-2</v>
      </c>
      <c r="F42" s="5" t="s">
        <v>496</v>
      </c>
      <c r="G42" s="1">
        <f>I38*G36</f>
        <v>3.515625</v>
      </c>
      <c r="L42" s="5" t="s">
        <v>496</v>
      </c>
      <c r="M42" s="1">
        <f>$I$38*M30</f>
        <v>15.972222222222221</v>
      </c>
    </row>
    <row r="43" spans="1:43" x14ac:dyDescent="0.2">
      <c r="A43" s="1" t="s">
        <v>120</v>
      </c>
      <c r="B43" s="3">
        <v>41.4</v>
      </c>
      <c r="C43" s="5" t="s">
        <v>12</v>
      </c>
      <c r="D43" s="6">
        <f t="shared" si="0"/>
        <v>4.1399999999999999E-2</v>
      </c>
      <c r="F43" s="46" t="s">
        <v>506</v>
      </c>
      <c r="G43" s="21">
        <f>SUM(G41:G42)</f>
        <v>4.7156250000000002</v>
      </c>
      <c r="L43" s="46" t="s">
        <v>508</v>
      </c>
      <c r="M43" s="21">
        <f>SUM(M41:M42)</f>
        <v>40.292222222222222</v>
      </c>
    </row>
    <row r="44" spans="1:43" x14ac:dyDescent="0.2">
      <c r="A44" s="1" t="s">
        <v>122</v>
      </c>
      <c r="B44" s="3">
        <v>63.2</v>
      </c>
      <c r="C44" s="5" t="s">
        <v>12</v>
      </c>
      <c r="D44" s="6">
        <f t="shared" si="0"/>
        <v>6.3200000000000006E-2</v>
      </c>
    </row>
    <row r="45" spans="1:43" x14ac:dyDescent="0.2">
      <c r="A45" s="1" t="s">
        <v>126</v>
      </c>
      <c r="B45" s="3">
        <v>173.49</v>
      </c>
      <c r="C45" s="5" t="s">
        <v>12</v>
      </c>
      <c r="D45" s="6">
        <f t="shared" si="0"/>
        <v>0.17349000000000001</v>
      </c>
      <c r="L45" s="82" t="s">
        <v>509</v>
      </c>
      <c r="M45" s="84"/>
    </row>
    <row r="46" spans="1:43" x14ac:dyDescent="0.2">
      <c r="A46" s="1" t="s">
        <v>29</v>
      </c>
      <c r="B46" s="3">
        <v>81</v>
      </c>
      <c r="C46" s="5" t="s">
        <v>12</v>
      </c>
      <c r="D46" s="6">
        <f t="shared" si="0"/>
        <v>8.1000000000000003E-2</v>
      </c>
      <c r="L46" s="45" t="s">
        <v>415</v>
      </c>
      <c r="M46" s="43">
        <f>P22</f>
        <v>1.9</v>
      </c>
    </row>
    <row r="47" spans="1:43" x14ac:dyDescent="0.2">
      <c r="A47" s="1" t="s">
        <v>90</v>
      </c>
      <c r="B47" s="3">
        <v>930</v>
      </c>
      <c r="C47" s="5" t="s">
        <v>12</v>
      </c>
      <c r="D47" s="6">
        <f t="shared" si="0"/>
        <v>0.93</v>
      </c>
      <c r="L47" s="5" t="s">
        <v>496</v>
      </c>
      <c r="M47" s="1">
        <f>I38*M34</f>
        <v>10.788690476190476</v>
      </c>
    </row>
    <row r="48" spans="1:43" x14ac:dyDescent="0.2">
      <c r="A48" s="1" t="s">
        <v>130</v>
      </c>
      <c r="B48" s="3">
        <v>750</v>
      </c>
      <c r="C48" s="5" t="s">
        <v>12</v>
      </c>
      <c r="D48" s="6">
        <f t="shared" si="0"/>
        <v>0.75</v>
      </c>
      <c r="L48" s="46" t="s">
        <v>508</v>
      </c>
      <c r="M48" s="21">
        <f>SUM(M46:M47)</f>
        <v>12.688690476190477</v>
      </c>
    </row>
    <row r="49" spans="1:13" x14ac:dyDescent="0.2">
      <c r="A49" s="1" t="s">
        <v>135</v>
      </c>
      <c r="B49" s="3">
        <v>1224</v>
      </c>
      <c r="C49" s="5" t="s">
        <v>12</v>
      </c>
      <c r="D49" s="6">
        <f t="shared" si="0"/>
        <v>1.224</v>
      </c>
    </row>
    <row r="50" spans="1:13" x14ac:dyDescent="0.2">
      <c r="A50" s="1" t="s">
        <v>140</v>
      </c>
      <c r="B50" s="3">
        <v>760</v>
      </c>
      <c r="C50" s="5" t="s">
        <v>12</v>
      </c>
      <c r="D50" s="6">
        <f t="shared" si="0"/>
        <v>0.76</v>
      </c>
      <c r="L50" s="82" t="s">
        <v>510</v>
      </c>
      <c r="M50" s="84"/>
    </row>
    <row r="51" spans="1:13" x14ac:dyDescent="0.2">
      <c r="A51" s="1" t="s">
        <v>44</v>
      </c>
      <c r="B51" s="3">
        <v>658</v>
      </c>
      <c r="C51" s="5" t="s">
        <v>12</v>
      </c>
      <c r="D51" s="6">
        <f t="shared" si="0"/>
        <v>0.65800000000000003</v>
      </c>
      <c r="L51" s="45" t="s">
        <v>415</v>
      </c>
      <c r="M51" s="43">
        <f>P26</f>
        <v>1.9</v>
      </c>
    </row>
    <row r="52" spans="1:13" x14ac:dyDescent="0.2">
      <c r="A52" s="1" t="s">
        <v>145</v>
      </c>
      <c r="B52" s="3">
        <v>836</v>
      </c>
      <c r="C52" s="5" t="s">
        <v>12</v>
      </c>
      <c r="D52" s="6">
        <f t="shared" si="0"/>
        <v>0.83599999999999997</v>
      </c>
      <c r="L52" s="5" t="s">
        <v>496</v>
      </c>
      <c r="M52" s="1">
        <f>M38*I38</f>
        <v>7.8125</v>
      </c>
    </row>
    <row r="53" spans="1:13" x14ac:dyDescent="0.2">
      <c r="A53" s="1" t="s">
        <v>88</v>
      </c>
      <c r="B53" s="3">
        <v>350.4</v>
      </c>
      <c r="C53" s="5" t="s">
        <v>12</v>
      </c>
      <c r="D53" s="6">
        <f t="shared" si="0"/>
        <v>0.35039999999999999</v>
      </c>
      <c r="L53" s="46" t="s">
        <v>508</v>
      </c>
      <c r="M53" s="21">
        <f>SUM(M51:M52)</f>
        <v>9.7125000000000004</v>
      </c>
    </row>
    <row r="54" spans="1:13" x14ac:dyDescent="0.2">
      <c r="A54" s="1" t="s">
        <v>148</v>
      </c>
      <c r="B54" s="3">
        <v>48.8</v>
      </c>
      <c r="C54" s="5" t="s">
        <v>12</v>
      </c>
      <c r="D54" s="6">
        <f t="shared" si="0"/>
        <v>4.8799999999999996E-2</v>
      </c>
    </row>
    <row r="55" spans="1:13" x14ac:dyDescent="0.2">
      <c r="A55" s="1" t="s">
        <v>150</v>
      </c>
      <c r="B55" s="3">
        <v>85</v>
      </c>
      <c r="C55" s="5" t="s">
        <v>12</v>
      </c>
      <c r="D55" s="6">
        <f t="shared" si="0"/>
        <v>8.5000000000000006E-2</v>
      </c>
    </row>
    <row r="56" spans="1:13" x14ac:dyDescent="0.2">
      <c r="A56" s="1" t="s">
        <v>153</v>
      </c>
      <c r="B56" s="3">
        <v>144</v>
      </c>
      <c r="C56" s="5" t="s">
        <v>12</v>
      </c>
      <c r="D56" s="6">
        <f t="shared" si="0"/>
        <v>0.14399999999999999</v>
      </c>
    </row>
    <row r="57" spans="1:13" x14ac:dyDescent="0.2">
      <c r="A57" s="1" t="s">
        <v>155</v>
      </c>
      <c r="B57" s="3">
        <v>157.44</v>
      </c>
      <c r="C57" s="5" t="s">
        <v>12</v>
      </c>
      <c r="D57" s="6">
        <f t="shared" si="0"/>
        <v>0.15744</v>
      </c>
    </row>
    <row r="58" spans="1:13" x14ac:dyDescent="0.2">
      <c r="A58" s="1" t="s">
        <v>140</v>
      </c>
      <c r="B58" s="3">
        <v>812.8</v>
      </c>
      <c r="C58" s="5" t="s">
        <v>12</v>
      </c>
      <c r="D58" s="6">
        <f t="shared" si="0"/>
        <v>0.81279999999999997</v>
      </c>
    </row>
    <row r="59" spans="1:13" x14ac:dyDescent="0.2">
      <c r="A59" s="1" t="s">
        <v>74</v>
      </c>
      <c r="B59" s="3">
        <v>206.63</v>
      </c>
      <c r="C59" s="5" t="s">
        <v>12</v>
      </c>
      <c r="D59" s="6">
        <f t="shared" si="0"/>
        <v>0.20663000000000001</v>
      </c>
    </row>
    <row r="60" spans="1:13" x14ac:dyDescent="0.2">
      <c r="A60" s="1" t="s">
        <v>161</v>
      </c>
      <c r="B60" s="3">
        <v>50</v>
      </c>
      <c r="C60" s="5" t="s">
        <v>12</v>
      </c>
      <c r="D60" s="6">
        <f t="shared" si="0"/>
        <v>0.05</v>
      </c>
    </row>
    <row r="61" spans="1:13" x14ac:dyDescent="0.2">
      <c r="A61" s="1" t="s">
        <v>163</v>
      </c>
      <c r="B61" s="3">
        <v>75</v>
      </c>
      <c r="C61" s="5" t="s">
        <v>12</v>
      </c>
      <c r="D61" s="6">
        <f t="shared" si="0"/>
        <v>7.4999999999999997E-2</v>
      </c>
    </row>
    <row r="62" spans="1:13" x14ac:dyDescent="0.2">
      <c r="A62" s="1" t="s">
        <v>164</v>
      </c>
      <c r="B62" s="3">
        <v>173.2</v>
      </c>
      <c r="C62" s="5" t="s">
        <v>12</v>
      </c>
      <c r="D62" s="6">
        <f t="shared" si="0"/>
        <v>0.17319999999999999</v>
      </c>
    </row>
    <row r="63" spans="1:13" x14ac:dyDescent="0.2">
      <c r="A63" s="1" t="s">
        <v>137</v>
      </c>
      <c r="B63" s="3">
        <v>611</v>
      </c>
      <c r="C63" s="5" t="s">
        <v>12</v>
      </c>
      <c r="D63" s="6">
        <f t="shared" si="0"/>
        <v>0.61099999999999999</v>
      </c>
    </row>
    <row r="64" spans="1:13" x14ac:dyDescent="0.2">
      <c r="A64" s="1" t="s">
        <v>63</v>
      </c>
      <c r="B64" s="3">
        <v>454</v>
      </c>
      <c r="C64" s="5" t="s">
        <v>12</v>
      </c>
      <c r="D64" s="6">
        <f t="shared" si="0"/>
        <v>0.45400000000000001</v>
      </c>
    </row>
    <row r="65" spans="1:4" x14ac:dyDescent="0.2">
      <c r="A65" s="1" t="s">
        <v>165</v>
      </c>
      <c r="B65" s="3">
        <v>224.8</v>
      </c>
      <c r="C65" s="5" t="s">
        <v>12</v>
      </c>
      <c r="D65" s="6">
        <f t="shared" si="0"/>
        <v>0.2248</v>
      </c>
    </row>
    <row r="66" spans="1:4" x14ac:dyDescent="0.2">
      <c r="A66" s="1" t="s">
        <v>168</v>
      </c>
      <c r="B66" s="3">
        <v>141.4</v>
      </c>
      <c r="C66" s="5" t="s">
        <v>12</v>
      </c>
      <c r="D66" s="6">
        <f t="shared" si="0"/>
        <v>0.1414</v>
      </c>
    </row>
    <row r="67" spans="1:4" x14ac:dyDescent="0.2">
      <c r="A67" s="1" t="s">
        <v>169</v>
      </c>
      <c r="B67" s="3">
        <v>164</v>
      </c>
      <c r="C67" s="5" t="s">
        <v>12</v>
      </c>
      <c r="D67" s="6">
        <f t="shared" si="0"/>
        <v>0.16400000000000001</v>
      </c>
    </row>
    <row r="68" spans="1:4" x14ac:dyDescent="0.2">
      <c r="A68" s="1" t="s">
        <v>171</v>
      </c>
      <c r="B68" s="3">
        <v>166.24</v>
      </c>
      <c r="C68" s="5" t="s">
        <v>12</v>
      </c>
      <c r="D68" s="6">
        <f t="shared" ref="D68:D108" si="21">B68/1000</f>
        <v>0.16624</v>
      </c>
    </row>
    <row r="69" spans="1:4" x14ac:dyDescent="0.2">
      <c r="A69" s="1" t="s">
        <v>173</v>
      </c>
      <c r="B69" s="3">
        <v>168</v>
      </c>
      <c r="C69" s="5" t="s">
        <v>12</v>
      </c>
      <c r="D69" s="6">
        <f t="shared" si="21"/>
        <v>0.16800000000000001</v>
      </c>
    </row>
    <row r="70" spans="1:4" x14ac:dyDescent="0.2">
      <c r="A70" s="1" t="s">
        <v>174</v>
      </c>
      <c r="B70" s="3">
        <v>882</v>
      </c>
      <c r="C70" s="5" t="s">
        <v>12</v>
      </c>
      <c r="D70" s="6">
        <f t="shared" si="21"/>
        <v>0.88200000000000001</v>
      </c>
    </row>
    <row r="71" spans="1:4" x14ac:dyDescent="0.2">
      <c r="A71" s="1" t="s">
        <v>176</v>
      </c>
      <c r="B71" s="3">
        <v>828</v>
      </c>
      <c r="C71" s="5" t="s">
        <v>12</v>
      </c>
      <c r="D71" s="6">
        <f t="shared" si="21"/>
        <v>0.82799999999999996</v>
      </c>
    </row>
    <row r="72" spans="1:4" x14ac:dyDescent="0.2">
      <c r="A72" s="1" t="s">
        <v>179</v>
      </c>
      <c r="B72" s="3">
        <v>128</v>
      </c>
      <c r="C72" s="5" t="s">
        <v>12</v>
      </c>
      <c r="D72" s="6">
        <f t="shared" si="21"/>
        <v>0.128</v>
      </c>
    </row>
    <row r="73" spans="1:4" x14ac:dyDescent="0.2">
      <c r="A73" s="1" t="s">
        <v>181</v>
      </c>
      <c r="B73" s="4">
        <v>205.33</v>
      </c>
      <c r="C73" s="5" t="s">
        <v>12</v>
      </c>
      <c r="D73" s="6">
        <f t="shared" si="21"/>
        <v>0.20533000000000001</v>
      </c>
    </row>
    <row r="74" spans="1:4" x14ac:dyDescent="0.2">
      <c r="A74" s="1" t="s">
        <v>62</v>
      </c>
      <c r="B74" s="3">
        <v>114.66</v>
      </c>
      <c r="C74" s="5" t="s">
        <v>12</v>
      </c>
      <c r="D74" s="6">
        <f t="shared" si="21"/>
        <v>0.11466</v>
      </c>
    </row>
    <row r="75" spans="1:4" x14ac:dyDescent="0.2">
      <c r="A75" s="1" t="s">
        <v>86</v>
      </c>
      <c r="B75" s="3">
        <v>126</v>
      </c>
      <c r="C75" s="5" t="s">
        <v>12</v>
      </c>
      <c r="D75" s="6">
        <f t="shared" si="21"/>
        <v>0.126</v>
      </c>
    </row>
    <row r="76" spans="1:4" x14ac:dyDescent="0.2">
      <c r="A76" s="1" t="s">
        <v>183</v>
      </c>
      <c r="B76" s="3">
        <v>167</v>
      </c>
      <c r="C76" s="5" t="s">
        <v>12</v>
      </c>
      <c r="D76" s="6">
        <f t="shared" si="21"/>
        <v>0.16700000000000001</v>
      </c>
    </row>
    <row r="77" spans="1:4" x14ac:dyDescent="0.2">
      <c r="A77" s="1" t="s">
        <v>184</v>
      </c>
      <c r="B77" s="3">
        <v>133.6</v>
      </c>
      <c r="C77" s="5" t="s">
        <v>12</v>
      </c>
      <c r="D77" s="6">
        <f t="shared" si="21"/>
        <v>0.1336</v>
      </c>
    </row>
    <row r="78" spans="1:4" x14ac:dyDescent="0.2">
      <c r="A78" s="1" t="s">
        <v>186</v>
      </c>
      <c r="B78" s="3">
        <v>113.6</v>
      </c>
      <c r="C78" s="5" t="s">
        <v>12</v>
      </c>
      <c r="D78" s="6">
        <f t="shared" si="21"/>
        <v>0.11359999999999999</v>
      </c>
    </row>
    <row r="79" spans="1:4" x14ac:dyDescent="0.2">
      <c r="A79" s="1" t="s">
        <v>51</v>
      </c>
      <c r="B79" s="4">
        <v>91</v>
      </c>
      <c r="C79" s="5" t="s">
        <v>12</v>
      </c>
      <c r="D79" s="6">
        <f t="shared" si="21"/>
        <v>9.0999999999999998E-2</v>
      </c>
    </row>
    <row r="80" spans="1:4" x14ac:dyDescent="0.2">
      <c r="A80" s="1" t="s">
        <v>56</v>
      </c>
      <c r="B80" s="4">
        <v>105.6</v>
      </c>
      <c r="C80" s="5" t="s">
        <v>12</v>
      </c>
      <c r="D80" s="6">
        <f t="shared" si="21"/>
        <v>0.1056</v>
      </c>
    </row>
    <row r="81" spans="1:4" x14ac:dyDescent="0.2">
      <c r="A81" s="1" t="s">
        <v>188</v>
      </c>
      <c r="B81" s="4">
        <v>133</v>
      </c>
      <c r="C81" s="5" t="s">
        <v>12</v>
      </c>
      <c r="D81" s="6">
        <f t="shared" si="21"/>
        <v>0.13300000000000001</v>
      </c>
    </row>
    <row r="82" spans="1:4" x14ac:dyDescent="0.2">
      <c r="A82" s="1" t="s">
        <v>189</v>
      </c>
      <c r="B82" s="4">
        <v>147.6</v>
      </c>
      <c r="C82" s="5" t="s">
        <v>12</v>
      </c>
      <c r="D82" s="6">
        <f t="shared" si="21"/>
        <v>0.14759999999999998</v>
      </c>
    </row>
    <row r="83" spans="1:4" x14ac:dyDescent="0.2">
      <c r="A83" s="1" t="s">
        <v>190</v>
      </c>
      <c r="B83" s="4">
        <v>90</v>
      </c>
      <c r="C83" s="5" t="s">
        <v>12</v>
      </c>
      <c r="D83" s="6">
        <f t="shared" si="21"/>
        <v>0.09</v>
      </c>
    </row>
    <row r="84" spans="1:4" x14ac:dyDescent="0.2">
      <c r="A84" s="1" t="s">
        <v>191</v>
      </c>
      <c r="B84" s="4">
        <v>96</v>
      </c>
      <c r="C84" s="5" t="s">
        <v>12</v>
      </c>
      <c r="D84" s="6">
        <f t="shared" si="21"/>
        <v>9.6000000000000002E-2</v>
      </c>
    </row>
    <row r="85" spans="1:4" x14ac:dyDescent="0.2">
      <c r="A85" s="1" t="s">
        <v>192</v>
      </c>
      <c r="B85" s="3">
        <v>126.4</v>
      </c>
      <c r="C85" s="5" t="s">
        <v>12</v>
      </c>
      <c r="D85" s="6">
        <f t="shared" si="21"/>
        <v>0.12640000000000001</v>
      </c>
    </row>
    <row r="86" spans="1:4" x14ac:dyDescent="0.2">
      <c r="A86" s="1" t="s">
        <v>193</v>
      </c>
      <c r="B86" s="3">
        <v>119</v>
      </c>
      <c r="C86" s="5" t="s">
        <v>12</v>
      </c>
      <c r="D86" s="6">
        <f t="shared" si="21"/>
        <v>0.11899999999999999</v>
      </c>
    </row>
    <row r="87" spans="1:4" x14ac:dyDescent="0.2">
      <c r="A87" s="1" t="s">
        <v>194</v>
      </c>
      <c r="B87" s="3">
        <v>88</v>
      </c>
      <c r="C87" s="5" t="s">
        <v>12</v>
      </c>
      <c r="D87" s="6">
        <f t="shared" si="21"/>
        <v>8.7999999999999995E-2</v>
      </c>
    </row>
    <row r="88" spans="1:4" x14ac:dyDescent="0.2">
      <c r="A88" s="1" t="s">
        <v>195</v>
      </c>
      <c r="B88" s="3">
        <v>73</v>
      </c>
      <c r="C88" s="5" t="s">
        <v>12</v>
      </c>
      <c r="D88" s="6">
        <f t="shared" si="21"/>
        <v>7.2999999999999995E-2</v>
      </c>
    </row>
    <row r="89" spans="1:4" x14ac:dyDescent="0.2">
      <c r="A89" s="1" t="s">
        <v>92</v>
      </c>
      <c r="B89" s="3">
        <v>138</v>
      </c>
      <c r="C89" s="5" t="s">
        <v>12</v>
      </c>
      <c r="D89" s="6">
        <f t="shared" si="21"/>
        <v>0.13800000000000001</v>
      </c>
    </row>
    <row r="90" spans="1:4" x14ac:dyDescent="0.2">
      <c r="A90" s="1" t="s">
        <v>196</v>
      </c>
      <c r="B90" s="3">
        <v>77</v>
      </c>
      <c r="C90" s="5" t="s">
        <v>12</v>
      </c>
      <c r="D90" s="6">
        <f t="shared" si="21"/>
        <v>7.6999999999999999E-2</v>
      </c>
    </row>
    <row r="91" spans="1:4" x14ac:dyDescent="0.2">
      <c r="A91" s="1" t="s">
        <v>197</v>
      </c>
      <c r="B91" s="3">
        <v>109.2</v>
      </c>
      <c r="C91" s="5" t="s">
        <v>12</v>
      </c>
      <c r="D91" s="6">
        <f t="shared" si="21"/>
        <v>0.10920000000000001</v>
      </c>
    </row>
    <row r="92" spans="1:4" x14ac:dyDescent="0.2">
      <c r="A92" s="1" t="s">
        <v>198</v>
      </c>
      <c r="B92" s="3">
        <v>95</v>
      </c>
      <c r="C92" s="5" t="s">
        <v>12</v>
      </c>
      <c r="D92" s="6">
        <f t="shared" si="21"/>
        <v>9.5000000000000001E-2</v>
      </c>
    </row>
    <row r="93" spans="1:4" x14ac:dyDescent="0.2">
      <c r="A93" s="1" t="s">
        <v>84</v>
      </c>
      <c r="B93" s="3">
        <v>173</v>
      </c>
      <c r="C93" s="5" t="s">
        <v>12</v>
      </c>
      <c r="D93" s="6">
        <f t="shared" si="21"/>
        <v>0.17299999999999999</v>
      </c>
    </row>
    <row r="94" spans="1:4" x14ac:dyDescent="0.2">
      <c r="A94" s="1" t="s">
        <v>199</v>
      </c>
      <c r="B94" s="3">
        <v>198</v>
      </c>
      <c r="C94" s="5" t="s">
        <v>12</v>
      </c>
      <c r="D94" s="6">
        <f t="shared" si="21"/>
        <v>0.19800000000000001</v>
      </c>
    </row>
    <row r="95" spans="1:4" x14ac:dyDescent="0.2">
      <c r="A95" s="13" t="s">
        <v>87</v>
      </c>
      <c r="B95" s="3">
        <v>249</v>
      </c>
      <c r="C95" s="5" t="s">
        <v>12</v>
      </c>
      <c r="D95" s="6">
        <f t="shared" si="21"/>
        <v>0.249</v>
      </c>
    </row>
    <row r="96" spans="1:4" x14ac:dyDescent="0.2">
      <c r="A96" s="1" t="s">
        <v>59</v>
      </c>
      <c r="B96" s="3">
        <v>43.17</v>
      </c>
      <c r="C96" s="5" t="s">
        <v>12</v>
      </c>
      <c r="D96" s="6">
        <f t="shared" si="21"/>
        <v>4.317E-2</v>
      </c>
    </row>
    <row r="97" spans="1:4" x14ac:dyDescent="0.2">
      <c r="A97" s="1" t="s">
        <v>25</v>
      </c>
      <c r="B97" s="3">
        <v>18.84</v>
      </c>
      <c r="C97" s="5" t="s">
        <v>12</v>
      </c>
      <c r="D97" s="6">
        <f t="shared" si="21"/>
        <v>1.8839999999999999E-2</v>
      </c>
    </row>
    <row r="98" spans="1:4" x14ac:dyDescent="0.2">
      <c r="A98" s="1" t="s">
        <v>39</v>
      </c>
      <c r="B98" s="3">
        <v>56.15</v>
      </c>
      <c r="C98" s="5" t="s">
        <v>12</v>
      </c>
      <c r="D98" s="6">
        <f t="shared" si="21"/>
        <v>5.6149999999999999E-2</v>
      </c>
    </row>
    <row r="99" spans="1:4" x14ac:dyDescent="0.2">
      <c r="A99" s="1" t="s">
        <v>24</v>
      </c>
      <c r="B99" s="3">
        <v>76.06</v>
      </c>
      <c r="C99" s="5" t="s">
        <v>12</v>
      </c>
      <c r="D99" s="6">
        <f t="shared" si="21"/>
        <v>7.6060000000000003E-2</v>
      </c>
    </row>
    <row r="100" spans="1:4" x14ac:dyDescent="0.2">
      <c r="A100" s="1" t="s">
        <v>200</v>
      </c>
      <c r="B100" s="3">
        <v>43.5</v>
      </c>
      <c r="C100" s="5" t="s">
        <v>12</v>
      </c>
      <c r="D100" s="6">
        <f t="shared" si="21"/>
        <v>4.3499999999999997E-2</v>
      </c>
    </row>
    <row r="101" spans="1:4" x14ac:dyDescent="0.2">
      <c r="A101" s="1" t="s">
        <v>201</v>
      </c>
      <c r="B101" s="3">
        <v>123.7</v>
      </c>
      <c r="C101" s="5" t="s">
        <v>12</v>
      </c>
      <c r="D101" s="6">
        <f t="shared" si="21"/>
        <v>0.1237</v>
      </c>
    </row>
    <row r="102" spans="1:4" x14ac:dyDescent="0.2">
      <c r="A102" s="1" t="s">
        <v>28</v>
      </c>
      <c r="B102" s="3">
        <v>71</v>
      </c>
      <c r="C102" s="5" t="s">
        <v>12</v>
      </c>
      <c r="D102" s="6">
        <f t="shared" si="21"/>
        <v>7.0999999999999994E-2</v>
      </c>
    </row>
    <row r="103" spans="1:4" x14ac:dyDescent="0.2">
      <c r="A103" s="8" t="s">
        <v>68</v>
      </c>
      <c r="B103" s="14">
        <v>45</v>
      </c>
      <c r="C103" s="15" t="s">
        <v>12</v>
      </c>
      <c r="D103" s="16">
        <f t="shared" si="21"/>
        <v>4.4999999999999998E-2</v>
      </c>
    </row>
    <row r="104" spans="1:4" x14ac:dyDescent="0.2">
      <c r="A104" s="8" t="s">
        <v>34</v>
      </c>
      <c r="B104" s="14">
        <v>188</v>
      </c>
      <c r="C104" s="8" t="s">
        <v>12</v>
      </c>
      <c r="D104" s="14">
        <f t="shared" si="21"/>
        <v>0.188</v>
      </c>
    </row>
    <row r="105" spans="1:4" x14ac:dyDescent="0.2">
      <c r="A105" s="8" t="s">
        <v>202</v>
      </c>
      <c r="B105" s="8">
        <v>139.30000000000001</v>
      </c>
      <c r="C105" s="8" t="s">
        <v>12</v>
      </c>
      <c r="D105" s="14">
        <f t="shared" si="21"/>
        <v>0.13930000000000001</v>
      </c>
    </row>
    <row r="106" spans="1:4" x14ac:dyDescent="0.2">
      <c r="A106" s="8" t="s">
        <v>23</v>
      </c>
      <c r="B106" s="8">
        <v>0</v>
      </c>
      <c r="C106" s="8" t="s">
        <v>12</v>
      </c>
      <c r="D106" s="8">
        <f>B106/1000</f>
        <v>0</v>
      </c>
    </row>
    <row r="107" spans="1:4" x14ac:dyDescent="0.2">
      <c r="A107" s="1" t="s">
        <v>87</v>
      </c>
      <c r="B107" s="1">
        <v>249</v>
      </c>
      <c r="C107" s="1" t="s">
        <v>12</v>
      </c>
      <c r="D107" s="1">
        <f>B107/1000</f>
        <v>0.249</v>
      </c>
    </row>
    <row r="108" spans="1:4" x14ac:dyDescent="0.2">
      <c r="A108" s="1" t="s">
        <v>132</v>
      </c>
      <c r="B108" s="1"/>
      <c r="C108" s="1"/>
      <c r="D108" s="1">
        <f t="shared" ref="D108:D112" si="22">B108/1000</f>
        <v>0</v>
      </c>
    </row>
    <row r="109" spans="1:4" x14ac:dyDescent="0.2">
      <c r="A109" s="1" t="s">
        <v>53</v>
      </c>
      <c r="B109" s="1">
        <v>512</v>
      </c>
      <c r="C109" s="1" t="s">
        <v>12</v>
      </c>
      <c r="D109" s="1">
        <f t="shared" si="22"/>
        <v>0.51200000000000001</v>
      </c>
    </row>
    <row r="110" spans="1:4" x14ac:dyDescent="0.2">
      <c r="A110" s="8" t="s">
        <v>32</v>
      </c>
      <c r="B110" s="8">
        <v>612</v>
      </c>
      <c r="C110" s="8" t="s">
        <v>12</v>
      </c>
      <c r="D110" s="8">
        <f t="shared" si="22"/>
        <v>0.61199999999999999</v>
      </c>
    </row>
    <row r="111" spans="1:4" x14ac:dyDescent="0.2">
      <c r="A111" s="1" t="s">
        <v>203</v>
      </c>
      <c r="B111" s="1">
        <v>612</v>
      </c>
      <c r="C111" s="1" t="s">
        <v>12</v>
      </c>
      <c r="D111" s="1">
        <f t="shared" si="22"/>
        <v>0.61199999999999999</v>
      </c>
    </row>
    <row r="112" spans="1:4" x14ac:dyDescent="0.2">
      <c r="A112" s="8" t="s">
        <v>37</v>
      </c>
      <c r="B112" s="8">
        <v>20.149999999999999</v>
      </c>
      <c r="C112" s="8" t="s">
        <v>61</v>
      </c>
      <c r="D112" s="8">
        <f t="shared" si="22"/>
        <v>2.0149999999999998E-2</v>
      </c>
    </row>
    <row r="113" spans="1:4" x14ac:dyDescent="0.2">
      <c r="A113" s="8" t="s">
        <v>72</v>
      </c>
      <c r="B113" s="8">
        <v>14.6</v>
      </c>
      <c r="C113" s="8" t="s">
        <v>73</v>
      </c>
      <c r="D113" s="8">
        <f>B113*1</f>
        <v>14.6</v>
      </c>
    </row>
    <row r="114" spans="1:4" x14ac:dyDescent="0.2">
      <c r="A114" s="1" t="s">
        <v>389</v>
      </c>
      <c r="B114" s="1">
        <v>7</v>
      </c>
      <c r="C114" s="1" t="s">
        <v>12</v>
      </c>
      <c r="D114" s="1">
        <f>B114/1000</f>
        <v>7.0000000000000001E-3</v>
      </c>
    </row>
  </sheetData>
  <mergeCells count="66">
    <mergeCell ref="R29:S29"/>
    <mergeCell ref="X29:Y29"/>
    <mergeCell ref="AD32:AE32"/>
    <mergeCell ref="AJ30:AK30"/>
    <mergeCell ref="AP30:AQ30"/>
    <mergeCell ref="F40:G40"/>
    <mergeCell ref="L40:M40"/>
    <mergeCell ref="L45:M45"/>
    <mergeCell ref="L50:M50"/>
    <mergeCell ref="AS27:AT27"/>
    <mergeCell ref="AS28:AT28"/>
    <mergeCell ref="AG29:AH29"/>
    <mergeCell ref="AG30:AH30"/>
    <mergeCell ref="AM27:AN27"/>
    <mergeCell ref="AM28:AN28"/>
    <mergeCell ref="O37:P37"/>
    <mergeCell ref="O38:P38"/>
    <mergeCell ref="F34:J34"/>
    <mergeCell ref="I35:J35"/>
    <mergeCell ref="I36:J36"/>
    <mergeCell ref="L28:P28"/>
    <mergeCell ref="AP1:AT1"/>
    <mergeCell ref="AP3:AT3"/>
    <mergeCell ref="AP15:AT15"/>
    <mergeCell ref="AP22:AT22"/>
    <mergeCell ref="AP26:AT26"/>
    <mergeCell ref="AJ1:AN1"/>
    <mergeCell ref="AJ3:AN3"/>
    <mergeCell ref="AJ15:AN15"/>
    <mergeCell ref="AJ22:AN22"/>
    <mergeCell ref="AJ26:AN26"/>
    <mergeCell ref="AD1:AH1"/>
    <mergeCell ref="AD3:AH3"/>
    <mergeCell ref="AD17:AH17"/>
    <mergeCell ref="AD24:AH24"/>
    <mergeCell ref="AD28:AH28"/>
    <mergeCell ref="U26:V26"/>
    <mergeCell ref="U27:V27"/>
    <mergeCell ref="X1:AB1"/>
    <mergeCell ref="X3:AB3"/>
    <mergeCell ref="X14:AB14"/>
    <mergeCell ref="X21:AB21"/>
    <mergeCell ref="X25:AB25"/>
    <mergeCell ref="AA26:AB26"/>
    <mergeCell ref="AA27:AB27"/>
    <mergeCell ref="R1:V1"/>
    <mergeCell ref="R3:V3"/>
    <mergeCell ref="R14:V14"/>
    <mergeCell ref="R21:V21"/>
    <mergeCell ref="R25:V25"/>
    <mergeCell ref="L1:P1"/>
    <mergeCell ref="L3:P3"/>
    <mergeCell ref="L16:P16"/>
    <mergeCell ref="L20:P20"/>
    <mergeCell ref="L24:P24"/>
    <mergeCell ref="F1:J1"/>
    <mergeCell ref="F3:J3"/>
    <mergeCell ref="F14:J14"/>
    <mergeCell ref="F21:J21"/>
    <mergeCell ref="F29:J29"/>
    <mergeCell ref="L36:P36"/>
    <mergeCell ref="O29:P29"/>
    <mergeCell ref="O30:P30"/>
    <mergeCell ref="L32:P32"/>
    <mergeCell ref="O33:P33"/>
    <mergeCell ref="O34:P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1497-4182-2540-8742-72E46DE893BE}">
  <dimension ref="A1:AB114"/>
  <sheetViews>
    <sheetView topLeftCell="G27" zoomScaleNormal="150" zoomScaleSheetLayoutView="100" workbookViewId="0">
      <selection activeCell="X43" sqref="X43"/>
    </sheetView>
  </sheetViews>
  <sheetFormatPr defaultRowHeight="15" x14ac:dyDescent="0.2"/>
  <cols>
    <col min="1" max="1" width="26.09765625" customWidth="1"/>
    <col min="2" max="2" width="10.0859375" customWidth="1"/>
    <col min="3" max="3" width="4.16796875" customWidth="1"/>
    <col min="6" max="6" width="22.59765625" customWidth="1"/>
    <col min="7" max="7" width="12.23828125" bestFit="1" customWidth="1"/>
    <col min="8" max="8" width="4.16796875" customWidth="1"/>
    <col min="12" max="12" width="27.44140625" customWidth="1"/>
    <col min="13" max="13" width="10.0859375" bestFit="1" customWidth="1"/>
    <col min="14" max="14" width="3.8984375" customWidth="1"/>
    <col min="18" max="18" width="22.1953125" customWidth="1"/>
    <col min="19" max="19" width="12.23828125" bestFit="1" customWidth="1"/>
    <col min="20" max="20" width="4.3046875" customWidth="1"/>
    <col min="24" max="24" width="22.59765625" customWidth="1"/>
    <col min="25" max="25" width="11.1640625" bestFit="1" customWidth="1"/>
    <col min="26" max="26" width="3.8984375" customWidth="1"/>
  </cols>
  <sheetData>
    <row r="1" spans="1:28" ht="27.75" x14ac:dyDescent="0.2">
      <c r="A1" s="9" t="s">
        <v>0</v>
      </c>
      <c r="B1" s="28" t="s">
        <v>1</v>
      </c>
      <c r="C1" s="11" t="s">
        <v>2</v>
      </c>
      <c r="D1" s="12" t="s">
        <v>3</v>
      </c>
      <c r="F1" s="95" t="s">
        <v>420</v>
      </c>
      <c r="G1" s="96"/>
      <c r="H1" s="96"/>
      <c r="I1" s="96"/>
      <c r="J1" s="97"/>
      <c r="L1" s="150" t="s">
        <v>475</v>
      </c>
      <c r="M1" s="151"/>
      <c r="N1" s="151"/>
      <c r="O1" s="151"/>
      <c r="P1" s="152"/>
      <c r="R1" s="147" t="s">
        <v>478</v>
      </c>
      <c r="S1" s="148"/>
      <c r="T1" s="148"/>
      <c r="U1" s="148"/>
      <c r="V1" s="149"/>
      <c r="X1" s="153" t="s">
        <v>493</v>
      </c>
      <c r="Y1" s="154"/>
      <c r="Z1" s="154"/>
      <c r="AA1" s="154"/>
      <c r="AB1" s="155"/>
    </row>
    <row r="2" spans="1:28" x14ac:dyDescent="0.2">
      <c r="A2" s="1" t="s">
        <v>11</v>
      </c>
      <c r="B2" s="3">
        <v>69.03</v>
      </c>
      <c r="C2" s="5" t="s">
        <v>12</v>
      </c>
      <c r="D2" s="6">
        <f>B2/1000</f>
        <v>6.9030000000000008E-2</v>
      </c>
      <c r="F2" s="22"/>
      <c r="G2" s="23"/>
      <c r="H2" s="23"/>
      <c r="I2" s="23"/>
      <c r="J2" s="24"/>
      <c r="L2" s="22"/>
      <c r="M2" s="23"/>
      <c r="N2" s="23"/>
      <c r="O2" s="23"/>
      <c r="P2" s="24"/>
      <c r="R2" s="22"/>
      <c r="S2" s="23"/>
      <c r="T2" s="23"/>
      <c r="U2" s="23"/>
      <c r="V2" s="24"/>
      <c r="X2" s="22"/>
      <c r="Y2" s="23"/>
      <c r="Z2" s="23"/>
      <c r="AA2" s="23"/>
      <c r="AB2" s="24"/>
    </row>
    <row r="3" spans="1:28" x14ac:dyDescent="0.2">
      <c r="A3" s="1" t="s">
        <v>13</v>
      </c>
      <c r="B3" s="3">
        <v>129.1</v>
      </c>
      <c r="C3" s="5" t="s">
        <v>12</v>
      </c>
      <c r="D3" s="6">
        <f t="shared" ref="D3:D67" si="0">B3/1000</f>
        <v>0.12909999999999999</v>
      </c>
      <c r="F3" s="92" t="s">
        <v>421</v>
      </c>
      <c r="G3" s="93"/>
      <c r="H3" s="93"/>
      <c r="I3" s="93"/>
      <c r="J3" s="94"/>
      <c r="L3" s="79" t="s">
        <v>421</v>
      </c>
      <c r="M3" s="80"/>
      <c r="N3" s="80"/>
      <c r="O3" s="80"/>
      <c r="P3" s="81"/>
      <c r="R3" s="82" t="s">
        <v>479</v>
      </c>
      <c r="S3" s="83"/>
      <c r="T3" s="83"/>
      <c r="U3" s="83"/>
      <c r="V3" s="84"/>
      <c r="X3" s="75" t="s">
        <v>421</v>
      </c>
      <c r="Y3" s="76"/>
      <c r="Z3" s="76"/>
      <c r="AA3" s="76"/>
      <c r="AB3" s="77"/>
    </row>
    <row r="4" spans="1:28" x14ac:dyDescent="0.2">
      <c r="A4" s="1" t="s">
        <v>21</v>
      </c>
      <c r="B4" s="3">
        <v>11.59</v>
      </c>
      <c r="C4" s="5" t="s">
        <v>12</v>
      </c>
      <c r="D4" s="6">
        <f t="shared" si="0"/>
        <v>1.159E-2</v>
      </c>
      <c r="F4" s="1" t="s">
        <v>115</v>
      </c>
      <c r="G4" s="1">
        <v>29500</v>
      </c>
      <c r="H4" s="1" t="s">
        <v>22</v>
      </c>
      <c r="I4" s="1">
        <f>_xlfn.XLOOKUP(F4,$A$2:$A$114,$D$2:$D$114)</f>
        <v>2.409E-2</v>
      </c>
      <c r="J4" s="17">
        <f>G4*I4</f>
        <v>710.65499999999997</v>
      </c>
      <c r="L4" s="1" t="s">
        <v>115</v>
      </c>
      <c r="M4" s="1">
        <v>29500</v>
      </c>
      <c r="N4" s="1" t="s">
        <v>22</v>
      </c>
      <c r="O4" s="1">
        <f>_xlfn.XLOOKUP(L4,$A$2:$A$114,$D$2:$D$114)</f>
        <v>2.409E-2</v>
      </c>
      <c r="P4" s="17">
        <f>M4*O4</f>
        <v>710.65499999999997</v>
      </c>
      <c r="R4" s="1" t="s">
        <v>21</v>
      </c>
      <c r="S4" s="1">
        <v>69375</v>
      </c>
      <c r="T4" s="1" t="s">
        <v>22</v>
      </c>
      <c r="U4" s="1">
        <f>_xlfn.XLOOKUP(R4,$A$2:$A$114,$D$2:$D$114)</f>
        <v>1.159E-2</v>
      </c>
      <c r="V4" s="17">
        <f>S4*U4</f>
        <v>804.05624999999998</v>
      </c>
      <c r="X4" s="1" t="s">
        <v>115</v>
      </c>
      <c r="Y4" s="1">
        <v>29500</v>
      </c>
      <c r="Z4" s="1" t="s">
        <v>22</v>
      </c>
      <c r="AA4" s="1">
        <f>_xlfn.XLOOKUP(X4,$A$2:$A$114,$D$2:$D$114)</f>
        <v>2.409E-2</v>
      </c>
      <c r="AB4" s="17">
        <f>Y4*AA4</f>
        <v>710.65499999999997</v>
      </c>
    </row>
    <row r="5" spans="1:28" x14ac:dyDescent="0.2">
      <c r="A5" s="1" t="s">
        <v>26</v>
      </c>
      <c r="B5" s="3">
        <v>13.15</v>
      </c>
      <c r="C5" s="5" t="s">
        <v>12</v>
      </c>
      <c r="D5" s="6">
        <f t="shared" si="0"/>
        <v>1.315E-2</v>
      </c>
      <c r="F5" s="1" t="s">
        <v>21</v>
      </c>
      <c r="G5" s="1">
        <v>29550</v>
      </c>
      <c r="H5" s="1" t="s">
        <v>22</v>
      </c>
      <c r="I5" s="1">
        <f>_xlfn.XLOOKUP(F5,$A$2:$A$114,$D$2:$D$114)</f>
        <v>1.159E-2</v>
      </c>
      <c r="J5" s="17">
        <f t="shared" ref="J5:J15" si="1">G5*I5</f>
        <v>342.48449999999997</v>
      </c>
      <c r="L5" s="1" t="s">
        <v>21</v>
      </c>
      <c r="M5" s="1">
        <v>29550</v>
      </c>
      <c r="N5" s="1" t="s">
        <v>22</v>
      </c>
      <c r="O5" s="1">
        <f>_xlfn.XLOOKUP(L5,$A$2:$A$114,$D$2:$D$114)</f>
        <v>1.159E-2</v>
      </c>
      <c r="P5" s="17">
        <f t="shared" ref="P5:P15" si="2">M5*O5</f>
        <v>342.48449999999997</v>
      </c>
      <c r="R5" s="1" t="s">
        <v>26</v>
      </c>
      <c r="S5" s="1">
        <v>7250</v>
      </c>
      <c r="T5" s="1" t="s">
        <v>22</v>
      </c>
      <c r="U5" s="1">
        <f>_xlfn.XLOOKUP(R5,$A$2:$A$114,$D$2:$D$114)</f>
        <v>1.315E-2</v>
      </c>
      <c r="V5" s="17">
        <f t="shared" ref="V5:V13" si="3">S5*U5</f>
        <v>95.337500000000006</v>
      </c>
      <c r="X5" s="1" t="s">
        <v>21</v>
      </c>
      <c r="Y5" s="1">
        <v>29550</v>
      </c>
      <c r="Z5" s="1" t="s">
        <v>22</v>
      </c>
      <c r="AA5" s="1">
        <f>_xlfn.XLOOKUP(X5,$A$2:$A$114,$D$2:$D$114)</f>
        <v>1.159E-2</v>
      </c>
      <c r="AB5" s="17">
        <f t="shared" ref="AB5:AB15" si="4">Y5*AA5</f>
        <v>342.48449999999997</v>
      </c>
    </row>
    <row r="6" spans="1:28" x14ac:dyDescent="0.2">
      <c r="A6" s="1" t="s">
        <v>31</v>
      </c>
      <c r="B6" s="3">
        <v>24.55</v>
      </c>
      <c r="C6" s="5" t="s">
        <v>12</v>
      </c>
      <c r="D6" s="6">
        <f t="shared" si="0"/>
        <v>2.4550000000000002E-2</v>
      </c>
      <c r="F6" s="1" t="s">
        <v>69</v>
      </c>
      <c r="G6" s="1">
        <v>1725</v>
      </c>
      <c r="H6" s="1" t="s">
        <v>22</v>
      </c>
      <c r="I6" s="1">
        <f>_xlfn.XLOOKUP(F6,$A$2:$A$114,$D$2:$D$114)</f>
        <v>3.2390000000000002E-2</v>
      </c>
      <c r="J6" s="17">
        <f t="shared" si="1"/>
        <v>55.872750000000003</v>
      </c>
      <c r="L6" s="1" t="s">
        <v>69</v>
      </c>
      <c r="M6" s="1">
        <v>1725</v>
      </c>
      <c r="N6" s="1" t="s">
        <v>22</v>
      </c>
      <c r="O6" s="1">
        <f>_xlfn.XLOOKUP(L6,$A$2:$A$114,$D$2:$D$114)</f>
        <v>3.2390000000000002E-2</v>
      </c>
      <c r="P6" s="17">
        <f t="shared" si="2"/>
        <v>55.872750000000003</v>
      </c>
      <c r="R6" s="1" t="s">
        <v>120</v>
      </c>
      <c r="S6" s="1">
        <v>2500</v>
      </c>
      <c r="T6" s="1" t="s">
        <v>22</v>
      </c>
      <c r="U6" s="1">
        <f>_xlfn.XLOOKUP(R6,$A$2:$A$114,$D$2:$D$114)</f>
        <v>4.1399999999999999E-2</v>
      </c>
      <c r="V6" s="17">
        <f t="shared" si="3"/>
        <v>103.5</v>
      </c>
      <c r="X6" s="1" t="s">
        <v>69</v>
      </c>
      <c r="Y6" s="1">
        <v>1725</v>
      </c>
      <c r="Z6" s="1" t="s">
        <v>22</v>
      </c>
      <c r="AA6" s="1">
        <f>_xlfn.XLOOKUP(X6,$A$2:$A$114,$D$2:$D$114)</f>
        <v>3.2390000000000002E-2</v>
      </c>
      <c r="AB6" s="17">
        <f t="shared" si="4"/>
        <v>55.872750000000003</v>
      </c>
    </row>
    <row r="7" spans="1:28" x14ac:dyDescent="0.2">
      <c r="A7" s="1" t="s">
        <v>27</v>
      </c>
      <c r="B7" s="3">
        <v>16.75</v>
      </c>
      <c r="C7" s="5" t="s">
        <v>12</v>
      </c>
      <c r="D7" s="6">
        <f t="shared" si="0"/>
        <v>1.6750000000000001E-2</v>
      </c>
      <c r="F7" s="1" t="s">
        <v>30</v>
      </c>
      <c r="G7" s="1">
        <v>1050</v>
      </c>
      <c r="H7" s="1" t="s">
        <v>22</v>
      </c>
      <c r="I7" s="1">
        <f>_xlfn.XLOOKUP(F7,$A$2:$A$114,$D$2:$D$114)</f>
        <v>5.2500000000000003E-3</v>
      </c>
      <c r="J7" s="17">
        <f t="shared" si="1"/>
        <v>5.5125000000000002</v>
      </c>
      <c r="L7" s="1" t="s">
        <v>30</v>
      </c>
      <c r="M7" s="1">
        <v>1050</v>
      </c>
      <c r="N7" s="1" t="s">
        <v>22</v>
      </c>
      <c r="O7" s="1">
        <f>_xlfn.XLOOKUP(L7,$A$2:$A$114,$D$2:$D$114)</f>
        <v>5.2500000000000003E-3</v>
      </c>
      <c r="P7" s="17">
        <f t="shared" si="2"/>
        <v>5.5125000000000002</v>
      </c>
      <c r="R7" s="1" t="s">
        <v>30</v>
      </c>
      <c r="S7" s="1">
        <v>1125</v>
      </c>
      <c r="T7" s="1" t="s">
        <v>22</v>
      </c>
      <c r="U7" s="1">
        <f>_xlfn.XLOOKUP(R7,$A$2:$A$114,$D$2:$D$114)</f>
        <v>5.2500000000000003E-3</v>
      </c>
      <c r="V7" s="17">
        <f t="shared" si="3"/>
        <v>5.90625</v>
      </c>
      <c r="X7" s="1" t="s">
        <v>30</v>
      </c>
      <c r="Y7" s="1">
        <v>1050</v>
      </c>
      <c r="Z7" s="1" t="s">
        <v>22</v>
      </c>
      <c r="AA7" s="1">
        <f>_xlfn.XLOOKUP(X7,$A$2:$A$114,$D$2:$D$114)</f>
        <v>5.2500000000000003E-3</v>
      </c>
      <c r="AB7" s="17">
        <f t="shared" si="4"/>
        <v>5.5125000000000002</v>
      </c>
    </row>
    <row r="8" spans="1:28" x14ac:dyDescent="0.2">
      <c r="A8" s="1" t="s">
        <v>35</v>
      </c>
      <c r="B8" s="3">
        <v>49.5</v>
      </c>
      <c r="C8" s="5" t="s">
        <v>12</v>
      </c>
      <c r="D8" s="6">
        <f t="shared" si="0"/>
        <v>4.9500000000000002E-2</v>
      </c>
      <c r="F8" s="1" t="s">
        <v>11</v>
      </c>
      <c r="G8" s="8">
        <v>1750</v>
      </c>
      <c r="H8" s="8" t="s">
        <v>22</v>
      </c>
      <c r="I8" s="1">
        <f>_xlfn.XLOOKUP(F8,$A$2:$A$114,$D$2:$D$114)</f>
        <v>6.9030000000000008E-2</v>
      </c>
      <c r="J8" s="17">
        <f t="shared" si="1"/>
        <v>120.80250000000001</v>
      </c>
      <c r="L8" s="1" t="s">
        <v>11</v>
      </c>
      <c r="M8" s="8">
        <v>1750</v>
      </c>
      <c r="N8" s="8" t="s">
        <v>22</v>
      </c>
      <c r="O8" s="1">
        <f>_xlfn.XLOOKUP(L8,$A$2:$A$114,$D$2:$D$114)</f>
        <v>6.9030000000000008E-2</v>
      </c>
      <c r="P8" s="17">
        <f t="shared" si="2"/>
        <v>120.80250000000001</v>
      </c>
      <c r="R8" s="1" t="s">
        <v>11</v>
      </c>
      <c r="S8" s="8">
        <v>2125</v>
      </c>
      <c r="T8" s="8" t="s">
        <v>22</v>
      </c>
      <c r="U8" s="1">
        <f>_xlfn.XLOOKUP(R8,$A$2:$A$114,$D$2:$D$114)</f>
        <v>6.9030000000000008E-2</v>
      </c>
      <c r="V8" s="17">
        <f t="shared" si="3"/>
        <v>146.68875000000003</v>
      </c>
      <c r="X8" s="1" t="s">
        <v>11</v>
      </c>
      <c r="Y8" s="8">
        <v>1750</v>
      </c>
      <c r="Z8" s="8" t="s">
        <v>22</v>
      </c>
      <c r="AA8" s="1">
        <f>_xlfn.XLOOKUP(X8,$A$2:$A$114,$D$2:$D$114)</f>
        <v>6.9030000000000008E-2</v>
      </c>
      <c r="AB8" s="17">
        <f t="shared" si="4"/>
        <v>120.80250000000001</v>
      </c>
    </row>
    <row r="9" spans="1:28" x14ac:dyDescent="0.2">
      <c r="A9" s="1" t="s">
        <v>40</v>
      </c>
      <c r="B9" s="3">
        <v>83.99</v>
      </c>
      <c r="C9" s="5" t="s">
        <v>12</v>
      </c>
      <c r="D9" s="6">
        <f t="shared" si="0"/>
        <v>8.3989999999999995E-2</v>
      </c>
      <c r="F9" s="1" t="s">
        <v>40</v>
      </c>
      <c r="G9" s="8">
        <v>3450</v>
      </c>
      <c r="H9" s="8" t="s">
        <v>22</v>
      </c>
      <c r="I9" s="1">
        <f>_xlfn.XLOOKUP(F9,$A$2:$A$114,$D$2:$D$114)</f>
        <v>8.3989999999999995E-2</v>
      </c>
      <c r="J9" s="17">
        <f t="shared" si="1"/>
        <v>289.76549999999997</v>
      </c>
      <c r="L9" s="1" t="s">
        <v>40</v>
      </c>
      <c r="M9" s="8">
        <v>3450</v>
      </c>
      <c r="N9" s="8" t="s">
        <v>22</v>
      </c>
      <c r="O9" s="1">
        <f>_xlfn.XLOOKUP(L9,$A$2:$A$114,$D$2:$D$114)</f>
        <v>8.3989999999999995E-2</v>
      </c>
      <c r="P9" s="17">
        <f t="shared" si="2"/>
        <v>289.76549999999997</v>
      </c>
      <c r="R9" s="1" t="s">
        <v>69</v>
      </c>
      <c r="S9" s="8">
        <v>2500</v>
      </c>
      <c r="T9" s="8" t="s">
        <v>22</v>
      </c>
      <c r="U9" s="1">
        <f>_xlfn.XLOOKUP(R9,$A$2:$A$114,$D$2:$D$114)</f>
        <v>3.2390000000000002E-2</v>
      </c>
      <c r="V9" s="17">
        <f t="shared" si="3"/>
        <v>80.975000000000009</v>
      </c>
      <c r="X9" s="1" t="s">
        <v>40</v>
      </c>
      <c r="Y9" s="8">
        <v>3450</v>
      </c>
      <c r="Z9" s="8" t="s">
        <v>22</v>
      </c>
      <c r="AA9" s="1">
        <f>_xlfn.XLOOKUP(X9,$A$2:$A$114,$D$2:$D$114)</f>
        <v>8.3989999999999995E-2</v>
      </c>
      <c r="AB9" s="17">
        <f t="shared" si="4"/>
        <v>289.76549999999997</v>
      </c>
    </row>
    <row r="10" spans="1:28" x14ac:dyDescent="0.2">
      <c r="A10" s="1" t="s">
        <v>42</v>
      </c>
      <c r="B10" s="3">
        <v>11.59</v>
      </c>
      <c r="C10" s="5" t="s">
        <v>12</v>
      </c>
      <c r="D10" s="6">
        <f t="shared" si="0"/>
        <v>1.159E-2</v>
      </c>
      <c r="F10" s="1" t="s">
        <v>26</v>
      </c>
      <c r="G10" s="8">
        <v>5550</v>
      </c>
      <c r="H10" s="8" t="s">
        <v>22</v>
      </c>
      <c r="I10" s="1">
        <f>_xlfn.XLOOKUP(F10,$A$2:$A$114,$D$2:$D$114)</f>
        <v>1.315E-2</v>
      </c>
      <c r="J10" s="17">
        <f t="shared" si="1"/>
        <v>72.982500000000002</v>
      </c>
      <c r="L10" s="1" t="s">
        <v>26</v>
      </c>
      <c r="M10" s="8">
        <v>5550</v>
      </c>
      <c r="N10" s="8" t="s">
        <v>22</v>
      </c>
      <c r="O10" s="1">
        <f>_xlfn.XLOOKUP(L10,$A$2:$A$114,$D$2:$D$114)</f>
        <v>1.315E-2</v>
      </c>
      <c r="P10" s="17">
        <f t="shared" si="2"/>
        <v>72.982500000000002</v>
      </c>
      <c r="R10" s="1" t="s">
        <v>24</v>
      </c>
      <c r="S10" s="8">
        <v>8000</v>
      </c>
      <c r="T10" s="8" t="s">
        <v>22</v>
      </c>
      <c r="U10" s="1">
        <f>_xlfn.XLOOKUP(R10,$A$2:$A$114,$D$2:$D$114)</f>
        <v>7.6060000000000003E-2</v>
      </c>
      <c r="V10" s="17">
        <f t="shared" si="3"/>
        <v>608.48</v>
      </c>
      <c r="X10" s="1" t="s">
        <v>26</v>
      </c>
      <c r="Y10" s="8">
        <v>5550</v>
      </c>
      <c r="Z10" s="8" t="s">
        <v>22</v>
      </c>
      <c r="AA10" s="1">
        <f>_xlfn.XLOOKUP(X10,$A$2:$A$114,$D$2:$D$114)</f>
        <v>1.315E-2</v>
      </c>
      <c r="AB10" s="17">
        <f t="shared" si="4"/>
        <v>72.982500000000002</v>
      </c>
    </row>
    <row r="11" spans="1:28" x14ac:dyDescent="0.2">
      <c r="A11" s="1" t="s">
        <v>45</v>
      </c>
      <c r="B11" s="3">
        <v>14.11</v>
      </c>
      <c r="C11" s="5" t="s">
        <v>12</v>
      </c>
      <c r="D11" s="6">
        <f t="shared" si="0"/>
        <v>1.4109999999999999E-2</v>
      </c>
      <c r="F11" s="1" t="s">
        <v>28</v>
      </c>
      <c r="G11" s="8">
        <v>3450</v>
      </c>
      <c r="H11" s="8" t="s">
        <v>22</v>
      </c>
      <c r="I11" s="1">
        <f t="shared" ref="I11:I15" si="5">_xlfn.XLOOKUP(F11,$A$2:$A$114,$D$2:$D$114)</f>
        <v>7.0999999999999994E-2</v>
      </c>
      <c r="J11" s="17">
        <f t="shared" si="1"/>
        <v>244.95</v>
      </c>
      <c r="L11" s="1" t="s">
        <v>28</v>
      </c>
      <c r="M11" s="8">
        <v>3450</v>
      </c>
      <c r="N11" s="8" t="s">
        <v>22</v>
      </c>
      <c r="O11" s="1">
        <f t="shared" ref="O11:O15" si="6">_xlfn.XLOOKUP(L11,$A$2:$A$114,$D$2:$D$114)</f>
        <v>7.0999999999999994E-2</v>
      </c>
      <c r="P11" s="17">
        <f t="shared" si="2"/>
        <v>244.95</v>
      </c>
      <c r="R11" s="1" t="s">
        <v>28</v>
      </c>
      <c r="S11" s="8">
        <v>4000</v>
      </c>
      <c r="T11" s="8" t="s">
        <v>22</v>
      </c>
      <c r="U11" s="1">
        <f t="shared" ref="U11:U13" si="7">_xlfn.XLOOKUP(R11,$A$2:$A$114,$D$2:$D$114)</f>
        <v>7.0999999999999994E-2</v>
      </c>
      <c r="V11" s="17">
        <f t="shared" si="3"/>
        <v>284</v>
      </c>
      <c r="X11" s="1" t="s">
        <v>28</v>
      </c>
      <c r="Y11" s="8">
        <v>3450</v>
      </c>
      <c r="Z11" s="8" t="s">
        <v>22</v>
      </c>
      <c r="AA11" s="1">
        <f t="shared" ref="AA11:AA15" si="8">_xlfn.XLOOKUP(X11,$A$2:$A$114,$D$2:$D$114)</f>
        <v>7.0999999999999994E-2</v>
      </c>
      <c r="AB11" s="17">
        <f t="shared" si="4"/>
        <v>244.95</v>
      </c>
    </row>
    <row r="12" spans="1:28" x14ac:dyDescent="0.2">
      <c r="A12" s="1" t="s">
        <v>46</v>
      </c>
      <c r="B12" s="3">
        <v>24.61</v>
      </c>
      <c r="C12" s="5" t="s">
        <v>12</v>
      </c>
      <c r="D12" s="6">
        <f t="shared" si="0"/>
        <v>2.461E-2</v>
      </c>
      <c r="F12" s="1" t="s">
        <v>24</v>
      </c>
      <c r="G12" s="8">
        <v>2400</v>
      </c>
      <c r="H12" s="8" t="s">
        <v>22</v>
      </c>
      <c r="I12" s="1">
        <f t="shared" si="5"/>
        <v>7.6060000000000003E-2</v>
      </c>
      <c r="J12" s="17">
        <f t="shared" si="1"/>
        <v>182.54400000000001</v>
      </c>
      <c r="L12" s="1" t="s">
        <v>24</v>
      </c>
      <c r="M12" s="8">
        <v>2400</v>
      </c>
      <c r="N12" s="8" t="s">
        <v>22</v>
      </c>
      <c r="O12" s="1">
        <f t="shared" si="6"/>
        <v>7.6060000000000003E-2</v>
      </c>
      <c r="P12" s="17">
        <f t="shared" si="2"/>
        <v>182.54400000000001</v>
      </c>
      <c r="R12" s="1" t="s">
        <v>25</v>
      </c>
      <c r="S12" s="8">
        <v>3250</v>
      </c>
      <c r="T12" s="8" t="s">
        <v>22</v>
      </c>
      <c r="U12" s="1">
        <f t="shared" si="7"/>
        <v>1.8839999999999999E-2</v>
      </c>
      <c r="V12" s="17">
        <f t="shared" si="3"/>
        <v>61.23</v>
      </c>
      <c r="X12" s="1" t="s">
        <v>24</v>
      </c>
      <c r="Y12" s="8">
        <v>2400</v>
      </c>
      <c r="Z12" s="8" t="s">
        <v>22</v>
      </c>
      <c r="AA12" s="1">
        <f t="shared" si="8"/>
        <v>7.6060000000000003E-2</v>
      </c>
      <c r="AB12" s="17">
        <f t="shared" si="4"/>
        <v>182.54400000000001</v>
      </c>
    </row>
    <row r="13" spans="1:28" x14ac:dyDescent="0.2">
      <c r="A13" s="1" t="s">
        <v>388</v>
      </c>
      <c r="B13" s="3">
        <v>13.5</v>
      </c>
      <c r="C13" s="5" t="s">
        <v>12</v>
      </c>
      <c r="D13" s="6">
        <f t="shared" si="0"/>
        <v>1.35E-2</v>
      </c>
      <c r="F13" s="1" t="s">
        <v>120</v>
      </c>
      <c r="G13" s="8">
        <v>1600</v>
      </c>
      <c r="H13" s="8" t="s">
        <v>22</v>
      </c>
      <c r="I13" s="1">
        <f t="shared" si="5"/>
        <v>4.1399999999999999E-2</v>
      </c>
      <c r="J13" s="17">
        <f t="shared" si="1"/>
        <v>66.239999999999995</v>
      </c>
      <c r="L13" s="1" t="s">
        <v>120</v>
      </c>
      <c r="M13" s="8">
        <v>1600</v>
      </c>
      <c r="N13" s="8" t="s">
        <v>22</v>
      </c>
      <c r="O13" s="1">
        <f t="shared" si="6"/>
        <v>4.1399999999999999E-2</v>
      </c>
      <c r="P13" s="17">
        <f t="shared" si="2"/>
        <v>66.239999999999995</v>
      </c>
      <c r="R13" s="1" t="s">
        <v>23</v>
      </c>
      <c r="S13" s="8">
        <v>25750</v>
      </c>
      <c r="T13" s="8" t="s">
        <v>22</v>
      </c>
      <c r="U13" s="1">
        <f t="shared" si="7"/>
        <v>0</v>
      </c>
      <c r="V13" s="17">
        <f t="shared" si="3"/>
        <v>0</v>
      </c>
      <c r="X13" s="1" t="s">
        <v>120</v>
      </c>
      <c r="Y13" s="8">
        <v>1600</v>
      </c>
      <c r="Z13" s="8" t="s">
        <v>22</v>
      </c>
      <c r="AA13" s="1">
        <f t="shared" si="8"/>
        <v>4.1399999999999999E-2</v>
      </c>
      <c r="AB13" s="17">
        <f t="shared" si="4"/>
        <v>66.239999999999995</v>
      </c>
    </row>
    <row r="14" spans="1:28" x14ac:dyDescent="0.2">
      <c r="A14" s="1" t="s">
        <v>30</v>
      </c>
      <c r="B14" s="3">
        <v>5.25</v>
      </c>
      <c r="C14" s="5" t="s">
        <v>12</v>
      </c>
      <c r="D14" s="6">
        <f t="shared" si="0"/>
        <v>5.2500000000000003E-3</v>
      </c>
      <c r="F14" s="1" t="s">
        <v>23</v>
      </c>
      <c r="G14" s="8">
        <v>24100</v>
      </c>
      <c r="H14" s="8" t="s">
        <v>22</v>
      </c>
      <c r="I14" s="1">
        <f t="shared" si="5"/>
        <v>0</v>
      </c>
      <c r="J14" s="17">
        <f t="shared" si="1"/>
        <v>0</v>
      </c>
      <c r="L14" s="1" t="s">
        <v>23</v>
      </c>
      <c r="M14" s="8">
        <v>24100</v>
      </c>
      <c r="N14" s="8" t="s">
        <v>22</v>
      </c>
      <c r="O14" s="1">
        <f t="shared" si="6"/>
        <v>0</v>
      </c>
      <c r="P14" s="17">
        <f t="shared" si="2"/>
        <v>0</v>
      </c>
      <c r="R14" s="1" t="s">
        <v>41</v>
      </c>
      <c r="S14" s="1">
        <f>SUM(S4:S13)</f>
        <v>125875</v>
      </c>
      <c r="T14" s="1" t="s">
        <v>22</v>
      </c>
      <c r="U14" s="1"/>
      <c r="V14" s="17">
        <f>SUM(V4:V13)</f>
        <v>2190.1737499999999</v>
      </c>
      <c r="X14" s="1" t="s">
        <v>23</v>
      </c>
      <c r="Y14" s="8">
        <v>24100</v>
      </c>
      <c r="Z14" s="8" t="s">
        <v>22</v>
      </c>
      <c r="AA14" s="1">
        <f t="shared" si="8"/>
        <v>0</v>
      </c>
      <c r="AB14" s="17">
        <f t="shared" si="4"/>
        <v>0</v>
      </c>
    </row>
    <row r="15" spans="1:28" x14ac:dyDescent="0.2">
      <c r="A15" s="1" t="s">
        <v>55</v>
      </c>
      <c r="B15" s="3">
        <v>13.41</v>
      </c>
      <c r="C15" s="5" t="s">
        <v>12</v>
      </c>
      <c r="D15" s="6">
        <f t="shared" si="0"/>
        <v>1.341E-2</v>
      </c>
      <c r="F15" s="1" t="s">
        <v>389</v>
      </c>
      <c r="G15" s="8">
        <v>8000</v>
      </c>
      <c r="H15" s="8" t="s">
        <v>22</v>
      </c>
      <c r="I15" s="1">
        <f t="shared" si="5"/>
        <v>7.0000000000000001E-3</v>
      </c>
      <c r="J15" s="17">
        <f t="shared" si="1"/>
        <v>56</v>
      </c>
      <c r="L15" s="1" t="s">
        <v>389</v>
      </c>
      <c r="M15" s="8">
        <v>8000</v>
      </c>
      <c r="N15" s="8" t="s">
        <v>22</v>
      </c>
      <c r="O15" s="1">
        <f t="shared" si="6"/>
        <v>7.0000000000000001E-3</v>
      </c>
      <c r="P15" s="17">
        <f t="shared" si="2"/>
        <v>56</v>
      </c>
      <c r="R15" s="1" t="s">
        <v>43</v>
      </c>
      <c r="S15" s="1"/>
      <c r="T15" s="1"/>
      <c r="U15" s="1"/>
      <c r="V15" s="20">
        <f>V14/S14</f>
        <v>1.7399592850049651E-2</v>
      </c>
      <c r="X15" s="1" t="s">
        <v>389</v>
      </c>
      <c r="Y15" s="8">
        <v>8000</v>
      </c>
      <c r="Z15" s="8" t="s">
        <v>22</v>
      </c>
      <c r="AA15" s="1">
        <f t="shared" si="8"/>
        <v>7.0000000000000001E-3</v>
      </c>
      <c r="AB15" s="17">
        <f t="shared" si="4"/>
        <v>56</v>
      </c>
    </row>
    <row r="16" spans="1:28" x14ac:dyDescent="0.2">
      <c r="A16" s="1" t="s">
        <v>60</v>
      </c>
      <c r="B16" s="3">
        <v>107</v>
      </c>
      <c r="C16" s="5" t="s">
        <v>61</v>
      </c>
      <c r="D16" s="6">
        <f t="shared" si="0"/>
        <v>0.107</v>
      </c>
      <c r="F16" s="1" t="s">
        <v>41</v>
      </c>
      <c r="G16" s="1">
        <f>SUM(G4:G15)</f>
        <v>112125</v>
      </c>
      <c r="H16" s="1" t="s">
        <v>22</v>
      </c>
      <c r="I16" s="1"/>
      <c r="J16" s="17">
        <f>SUM(J4:J15)</f>
        <v>2147.8092500000002</v>
      </c>
      <c r="L16" s="1" t="s">
        <v>41</v>
      </c>
      <c r="M16" s="1">
        <f>SUM(M4:M15)</f>
        <v>112125</v>
      </c>
      <c r="N16" s="1" t="s">
        <v>22</v>
      </c>
      <c r="O16" s="1"/>
      <c r="P16" s="17">
        <f>SUM(P4:P15)</f>
        <v>2147.8092500000002</v>
      </c>
      <c r="X16" s="1" t="s">
        <v>41</v>
      </c>
      <c r="Y16" s="1">
        <f>SUM(Y4:Y15)</f>
        <v>112125</v>
      </c>
      <c r="Z16" s="1" t="s">
        <v>22</v>
      </c>
      <c r="AA16" s="1"/>
      <c r="AB16" s="17">
        <f>SUM(AB4:AB15)</f>
        <v>2147.8092500000002</v>
      </c>
    </row>
    <row r="17" spans="1:28" x14ac:dyDescent="0.2">
      <c r="A17" s="1" t="s">
        <v>64</v>
      </c>
      <c r="B17" s="3">
        <v>37.9</v>
      </c>
      <c r="C17" s="5" t="s">
        <v>61</v>
      </c>
      <c r="D17" s="6">
        <f t="shared" si="0"/>
        <v>3.7899999999999996E-2</v>
      </c>
      <c r="F17" s="1" t="s">
        <v>43</v>
      </c>
      <c r="G17" s="1"/>
      <c r="H17" s="1"/>
      <c r="I17" s="1"/>
      <c r="J17" s="20">
        <f>J16/G16</f>
        <v>1.9155489409141586E-2</v>
      </c>
      <c r="L17" s="1" t="s">
        <v>43</v>
      </c>
      <c r="M17" s="1"/>
      <c r="N17" s="1"/>
      <c r="O17" s="1"/>
      <c r="P17" s="20">
        <f>P16/M16</f>
        <v>1.9155489409141586E-2</v>
      </c>
      <c r="R17" s="82" t="s">
        <v>483</v>
      </c>
      <c r="S17" s="83"/>
      <c r="T17" s="83"/>
      <c r="U17" s="83"/>
      <c r="V17" s="84"/>
      <c r="X17" s="1" t="s">
        <v>43</v>
      </c>
      <c r="Y17" s="1"/>
      <c r="Z17" s="1"/>
      <c r="AA17" s="1"/>
      <c r="AB17" s="20">
        <f>AB16/Y16</f>
        <v>1.9155489409141586E-2</v>
      </c>
    </row>
    <row r="18" spans="1:28" x14ac:dyDescent="0.2">
      <c r="A18" s="1" t="s">
        <v>65</v>
      </c>
      <c r="B18" s="3">
        <v>29.7</v>
      </c>
      <c r="C18" s="5" t="s">
        <v>12</v>
      </c>
      <c r="D18" s="6">
        <f t="shared" si="0"/>
        <v>2.9700000000000001E-2</v>
      </c>
      <c r="R18" s="1" t="s">
        <v>24</v>
      </c>
      <c r="S18" s="1">
        <v>570</v>
      </c>
      <c r="T18" s="1" t="s">
        <v>22</v>
      </c>
      <c r="U18" s="1">
        <f>_xlfn.XLOOKUP(R18,$A$2:$A$113,$D$2:$D$113)</f>
        <v>7.6060000000000003E-2</v>
      </c>
      <c r="V18" s="17">
        <f t="shared" ref="V18:V21" si="9">S18*U18</f>
        <v>43.354199999999999</v>
      </c>
    </row>
    <row r="19" spans="1:28" x14ac:dyDescent="0.2">
      <c r="A19" s="1" t="s">
        <v>69</v>
      </c>
      <c r="B19" s="3">
        <v>32.39</v>
      </c>
      <c r="C19" s="5" t="s">
        <v>12</v>
      </c>
      <c r="D19" s="6">
        <f t="shared" si="0"/>
        <v>3.2390000000000002E-2</v>
      </c>
      <c r="F19" s="92" t="s">
        <v>389</v>
      </c>
      <c r="G19" s="93"/>
      <c r="H19" s="93"/>
      <c r="I19" s="93"/>
      <c r="J19" s="94"/>
      <c r="L19" s="79" t="s">
        <v>422</v>
      </c>
      <c r="M19" s="80"/>
      <c r="N19" s="80"/>
      <c r="O19" s="80"/>
      <c r="P19" s="81"/>
      <c r="R19" s="1" t="s">
        <v>31</v>
      </c>
      <c r="S19" s="1">
        <v>340</v>
      </c>
      <c r="T19" s="1" t="s">
        <v>22</v>
      </c>
      <c r="U19" s="1">
        <f>_xlfn.XLOOKUP(R19,$A$2:$A$113,$D$2:$D$113)</f>
        <v>2.4550000000000002E-2</v>
      </c>
      <c r="V19" s="17">
        <f t="shared" si="9"/>
        <v>8.3470000000000013</v>
      </c>
      <c r="X19" s="75" t="s">
        <v>480</v>
      </c>
      <c r="Y19" s="76"/>
      <c r="Z19" s="76"/>
      <c r="AA19" s="76"/>
      <c r="AB19" s="77"/>
    </row>
    <row r="20" spans="1:28" x14ac:dyDescent="0.2">
      <c r="A20" s="1" t="s">
        <v>71</v>
      </c>
      <c r="B20" s="3">
        <v>100.48</v>
      </c>
      <c r="C20" s="5" t="s">
        <v>12</v>
      </c>
      <c r="D20" s="6">
        <f t="shared" si="0"/>
        <v>0.10048</v>
      </c>
      <c r="F20" s="1" t="s">
        <v>23</v>
      </c>
      <c r="G20" s="1">
        <v>3500</v>
      </c>
      <c r="H20" s="1" t="s">
        <v>22</v>
      </c>
      <c r="I20" s="1">
        <f>_xlfn.XLOOKUP(F20,$A$2:$A$113,$D$2:$D$113)</f>
        <v>0</v>
      </c>
      <c r="J20" s="17">
        <f t="shared" ref="J20:J22" si="10">G20*I20</f>
        <v>0</v>
      </c>
      <c r="L20" s="1" t="s">
        <v>423</v>
      </c>
      <c r="M20" s="1">
        <v>5600</v>
      </c>
      <c r="N20" s="1" t="s">
        <v>22</v>
      </c>
      <c r="O20" s="1">
        <v>1.9E-2</v>
      </c>
      <c r="P20" s="17">
        <f t="shared" ref="P20:P21" si="11">M20*O20</f>
        <v>106.39999999999999</v>
      </c>
      <c r="R20" s="1" t="s">
        <v>179</v>
      </c>
      <c r="S20" s="1">
        <v>60</v>
      </c>
      <c r="T20" s="1" t="s">
        <v>22</v>
      </c>
      <c r="U20" s="1">
        <f t="shared" ref="U20:U21" si="12">_xlfn.XLOOKUP(R20,$A$2:$A$113,$D$2:$D$113)</f>
        <v>0.128</v>
      </c>
      <c r="V20" s="17">
        <f t="shared" si="9"/>
        <v>7.68</v>
      </c>
      <c r="X20" s="1" t="s">
        <v>24</v>
      </c>
      <c r="Y20" s="1">
        <v>9000</v>
      </c>
      <c r="Z20" s="1" t="s">
        <v>22</v>
      </c>
      <c r="AA20" s="1">
        <f>_xlfn.XLOOKUP(X20,$A$2:$A$113,$D$2:$D$113)</f>
        <v>7.6060000000000003E-2</v>
      </c>
      <c r="AB20" s="17">
        <f t="shared" ref="AB20:AB24" si="13">Y20*AA20</f>
        <v>684.54000000000008</v>
      </c>
    </row>
    <row r="21" spans="1:28" x14ac:dyDescent="0.2">
      <c r="A21" s="1" t="s">
        <v>75</v>
      </c>
      <c r="B21" s="3">
        <v>61.57</v>
      </c>
      <c r="C21" s="5" t="s">
        <v>12</v>
      </c>
      <c r="D21" s="6">
        <f t="shared" si="0"/>
        <v>6.157E-2</v>
      </c>
      <c r="F21" s="1" t="s">
        <v>21</v>
      </c>
      <c r="G21" s="1">
        <v>3500</v>
      </c>
      <c r="H21" s="1" t="s">
        <v>22</v>
      </c>
      <c r="I21" s="1">
        <f>_xlfn.XLOOKUP(F21,$A$2:$A$113,$D$2:$D$113)</f>
        <v>1.159E-2</v>
      </c>
      <c r="J21" s="17">
        <f t="shared" si="10"/>
        <v>40.564999999999998</v>
      </c>
      <c r="L21" s="1" t="s">
        <v>59</v>
      </c>
      <c r="M21" s="1">
        <v>2000</v>
      </c>
      <c r="N21" s="1" t="s">
        <v>22</v>
      </c>
      <c r="O21" s="1">
        <f t="shared" ref="O21" si="14">_xlfn.XLOOKUP(L21,$A$2:$A$114,$D$2:$D$114)</f>
        <v>4.317E-2</v>
      </c>
      <c r="P21" s="17">
        <f t="shared" si="11"/>
        <v>86.34</v>
      </c>
      <c r="R21" s="1" t="s">
        <v>88</v>
      </c>
      <c r="S21" s="1">
        <v>45</v>
      </c>
      <c r="T21" s="1" t="s">
        <v>22</v>
      </c>
      <c r="U21" s="1">
        <f t="shared" si="12"/>
        <v>0.35039999999999999</v>
      </c>
      <c r="V21" s="17">
        <f t="shared" si="9"/>
        <v>15.767999999999999</v>
      </c>
      <c r="X21" s="1" t="s">
        <v>346</v>
      </c>
      <c r="Y21" s="1">
        <v>1320</v>
      </c>
      <c r="Z21" s="1" t="s">
        <v>22</v>
      </c>
      <c r="AA21" s="1">
        <f>_xlfn.XLOOKUP(X21,$A$2:$A$113,$D$2:$D$113)</f>
        <v>1.6750000000000001E-2</v>
      </c>
      <c r="AB21" s="17">
        <f t="shared" si="13"/>
        <v>22.110000000000003</v>
      </c>
    </row>
    <row r="22" spans="1:28" x14ac:dyDescent="0.2">
      <c r="A22" s="1" t="s">
        <v>76</v>
      </c>
      <c r="B22" s="3">
        <v>81.03</v>
      </c>
      <c r="C22" s="5" t="s">
        <v>12</v>
      </c>
      <c r="D22" s="6">
        <f t="shared" si="0"/>
        <v>8.1030000000000005E-2</v>
      </c>
      <c r="F22" s="1" t="s">
        <v>46</v>
      </c>
      <c r="G22" s="1">
        <v>350</v>
      </c>
      <c r="H22" s="1" t="s">
        <v>22</v>
      </c>
      <c r="I22" s="1">
        <f>_xlfn.XLOOKUP(F22,$A$2:$A$113,$D$2:$D$113)</f>
        <v>2.461E-2</v>
      </c>
      <c r="J22" s="17">
        <f t="shared" si="10"/>
        <v>8.6135000000000002</v>
      </c>
      <c r="L22" s="1" t="s">
        <v>41</v>
      </c>
      <c r="M22" s="1">
        <f>SUM(M20:M21)</f>
        <v>7600</v>
      </c>
      <c r="N22" s="1" t="s">
        <v>22</v>
      </c>
      <c r="O22" s="1"/>
      <c r="P22" s="17">
        <f>SUM(P20:P21)</f>
        <v>192.74</v>
      </c>
      <c r="R22" s="1" t="s">
        <v>41</v>
      </c>
      <c r="S22" s="1">
        <f>SUM(S18:S21)</f>
        <v>1015</v>
      </c>
      <c r="T22" s="1" t="s">
        <v>22</v>
      </c>
      <c r="U22" s="1"/>
      <c r="V22" s="17">
        <f>SUM(V18:V21)</f>
        <v>75.149199999999993</v>
      </c>
      <c r="X22" s="1" t="s">
        <v>173</v>
      </c>
      <c r="Y22" s="1">
        <v>1320</v>
      </c>
      <c r="Z22" s="1" t="s">
        <v>22</v>
      </c>
      <c r="AA22" s="1">
        <f t="shared" ref="AA22:AA24" si="15">_xlfn.XLOOKUP(X22,$A$2:$A$113,$D$2:$D$113)</f>
        <v>0.16800000000000001</v>
      </c>
      <c r="AB22" s="17">
        <f t="shared" si="13"/>
        <v>221.76000000000002</v>
      </c>
    </row>
    <row r="23" spans="1:28" x14ac:dyDescent="0.2">
      <c r="A23" s="1" t="s">
        <v>77</v>
      </c>
      <c r="B23" s="3">
        <v>106.04</v>
      </c>
      <c r="C23" s="5" t="s">
        <v>12</v>
      </c>
      <c r="D23" s="6">
        <f t="shared" si="0"/>
        <v>0.10604000000000001</v>
      </c>
      <c r="F23" s="1" t="s">
        <v>41</v>
      </c>
      <c r="G23" s="1">
        <f>SUM(G20:G22)</f>
        <v>7350</v>
      </c>
      <c r="H23" s="1" t="s">
        <v>22</v>
      </c>
      <c r="I23" s="1"/>
      <c r="J23" s="17">
        <f>SUM(J20:J22)</f>
        <v>49.1785</v>
      </c>
      <c r="L23" s="1" t="s">
        <v>43</v>
      </c>
      <c r="M23" s="1"/>
      <c r="N23" s="1"/>
      <c r="O23" s="1"/>
      <c r="P23" s="20">
        <f>P22/M22</f>
        <v>2.5360526315789476E-2</v>
      </c>
      <c r="R23" s="1" t="s">
        <v>43</v>
      </c>
      <c r="S23" s="1"/>
      <c r="T23" s="1"/>
      <c r="U23" s="1"/>
      <c r="V23" s="20">
        <f>V22/S22</f>
        <v>7.4038620689655166E-2</v>
      </c>
      <c r="X23" s="1" t="s">
        <v>28</v>
      </c>
      <c r="Y23" s="1">
        <v>880</v>
      </c>
      <c r="Z23" s="1" t="s">
        <v>22</v>
      </c>
      <c r="AA23" s="1">
        <f t="shared" si="15"/>
        <v>7.0999999999999994E-2</v>
      </c>
      <c r="AB23" s="17">
        <f t="shared" si="13"/>
        <v>62.48</v>
      </c>
    </row>
    <row r="24" spans="1:28" x14ac:dyDescent="0.2">
      <c r="A24" s="1" t="s">
        <v>80</v>
      </c>
      <c r="B24" s="3">
        <v>89</v>
      </c>
      <c r="C24" s="5" t="s">
        <v>12</v>
      </c>
      <c r="D24" s="6">
        <f t="shared" si="0"/>
        <v>8.8999999999999996E-2</v>
      </c>
      <c r="F24" s="1" t="s">
        <v>43</v>
      </c>
      <c r="G24" s="1"/>
      <c r="H24" s="1"/>
      <c r="I24" s="1"/>
      <c r="J24" s="20">
        <f>J23/G23</f>
        <v>6.6909523809523808E-3</v>
      </c>
      <c r="X24" s="1" t="s">
        <v>88</v>
      </c>
      <c r="Y24" s="1">
        <v>880</v>
      </c>
      <c r="Z24" s="1" t="s">
        <v>22</v>
      </c>
      <c r="AA24" s="1">
        <f t="shared" si="15"/>
        <v>0.35039999999999999</v>
      </c>
      <c r="AB24" s="17">
        <f t="shared" si="13"/>
        <v>308.35199999999998</v>
      </c>
    </row>
    <row r="25" spans="1:28" x14ac:dyDescent="0.2">
      <c r="A25" s="1" t="s">
        <v>85</v>
      </c>
      <c r="B25" s="3">
        <v>26.5</v>
      </c>
      <c r="C25" s="5" t="s">
        <v>12</v>
      </c>
      <c r="D25" s="6">
        <f t="shared" si="0"/>
        <v>2.6499999999999999E-2</v>
      </c>
      <c r="L25" s="79" t="s">
        <v>474</v>
      </c>
      <c r="M25" s="80"/>
      <c r="N25" s="80"/>
      <c r="O25" s="80"/>
      <c r="P25" s="81"/>
      <c r="R25" s="82" t="s">
        <v>484</v>
      </c>
      <c r="S25" s="83"/>
      <c r="T25" s="83"/>
      <c r="U25" s="83"/>
      <c r="V25" s="84"/>
      <c r="X25" s="1" t="s">
        <v>41</v>
      </c>
      <c r="Y25" s="1">
        <f>SUM(Y20:Y24)</f>
        <v>13400</v>
      </c>
      <c r="Z25" s="1" t="s">
        <v>22</v>
      </c>
      <c r="AA25" s="1"/>
      <c r="AB25" s="17">
        <f>SUM(AB20:AB24)</f>
        <v>1299.2420000000002</v>
      </c>
    </row>
    <row r="26" spans="1:28" x14ac:dyDescent="0.2">
      <c r="A26" s="1" t="s">
        <v>89</v>
      </c>
      <c r="B26" s="3">
        <v>15.75</v>
      </c>
      <c r="C26" s="5" t="s">
        <v>12</v>
      </c>
      <c r="D26" s="6">
        <f t="shared" si="0"/>
        <v>1.575E-2</v>
      </c>
      <c r="F26" s="92" t="s">
        <v>422</v>
      </c>
      <c r="G26" s="93"/>
      <c r="H26" s="93"/>
      <c r="I26" s="93"/>
      <c r="J26" s="94"/>
      <c r="L26" s="1" t="s">
        <v>25</v>
      </c>
      <c r="M26" s="1">
        <v>9000</v>
      </c>
      <c r="N26" s="1" t="s">
        <v>22</v>
      </c>
      <c r="O26" s="1">
        <f>_xlfn.XLOOKUP(L26,$A$2:$A$113,$D$2:$D$113)</f>
        <v>1.8839999999999999E-2</v>
      </c>
      <c r="P26" s="17">
        <f t="shared" ref="P26:P31" si="16">M26*O26</f>
        <v>169.56</v>
      </c>
      <c r="R26" s="1" t="s">
        <v>24</v>
      </c>
      <c r="S26" s="1">
        <v>530</v>
      </c>
      <c r="T26" s="1" t="s">
        <v>22</v>
      </c>
      <c r="U26" s="1">
        <f>_xlfn.XLOOKUP(R26,$A$2:$A$113,$D$2:$D$113)</f>
        <v>7.6060000000000003E-2</v>
      </c>
      <c r="V26" s="17">
        <f t="shared" ref="V26:V30" si="17">S26*U26</f>
        <v>40.311799999999998</v>
      </c>
      <c r="X26" s="1" t="s">
        <v>43</v>
      </c>
      <c r="Y26" s="1"/>
      <c r="Z26" s="1"/>
      <c r="AA26" s="1"/>
      <c r="AB26" s="20">
        <f>AB25/Y25</f>
        <v>9.6958358208955236E-2</v>
      </c>
    </row>
    <row r="27" spans="1:28" x14ac:dyDescent="0.2">
      <c r="A27" s="1" t="s">
        <v>91</v>
      </c>
      <c r="B27" s="3">
        <v>49.85</v>
      </c>
      <c r="C27" s="5" t="s">
        <v>12</v>
      </c>
      <c r="D27" s="6">
        <f t="shared" si="0"/>
        <v>4.9849999999999998E-2</v>
      </c>
      <c r="F27" s="1" t="s">
        <v>423</v>
      </c>
      <c r="G27" s="1">
        <v>5600</v>
      </c>
      <c r="H27" s="1" t="s">
        <v>22</v>
      </c>
      <c r="I27" s="1">
        <v>1.9E-2</v>
      </c>
      <c r="J27" s="17">
        <f t="shared" ref="J27:J28" si="18">G27*I27</f>
        <v>106.39999999999999</v>
      </c>
      <c r="L27" s="1" t="s">
        <v>26</v>
      </c>
      <c r="M27" s="1">
        <v>1320</v>
      </c>
      <c r="N27" s="1" t="s">
        <v>22</v>
      </c>
      <c r="O27" s="1">
        <f>_xlfn.XLOOKUP(L27,$A$2:$A$113,$D$2:$D$113)</f>
        <v>1.315E-2</v>
      </c>
      <c r="P27" s="17">
        <f t="shared" si="16"/>
        <v>17.358000000000001</v>
      </c>
      <c r="R27" s="1" t="s">
        <v>346</v>
      </c>
      <c r="S27" s="1">
        <v>440</v>
      </c>
      <c r="T27" s="1" t="s">
        <v>22</v>
      </c>
      <c r="U27" s="1">
        <f>_xlfn.XLOOKUP(R27,$A$2:$A$113,$D$2:$D$113)</f>
        <v>1.6750000000000001E-2</v>
      </c>
      <c r="V27" s="17">
        <f t="shared" si="17"/>
        <v>7.37</v>
      </c>
    </row>
    <row r="28" spans="1:28" x14ac:dyDescent="0.2">
      <c r="A28" s="1" t="s">
        <v>93</v>
      </c>
      <c r="B28" s="3">
        <v>36.75</v>
      </c>
      <c r="C28" s="5" t="s">
        <v>12</v>
      </c>
      <c r="D28" s="6">
        <f t="shared" si="0"/>
        <v>3.6749999999999998E-2</v>
      </c>
      <c r="F28" s="1" t="s">
        <v>59</v>
      </c>
      <c r="G28" s="1">
        <v>2000</v>
      </c>
      <c r="H28" s="1" t="s">
        <v>22</v>
      </c>
      <c r="I28" s="1">
        <f t="shared" ref="I28" si="19">_xlfn.XLOOKUP(F28,$A$2:$A$114,$D$2:$D$114)</f>
        <v>4.317E-2</v>
      </c>
      <c r="J28" s="17">
        <f t="shared" si="18"/>
        <v>86.34</v>
      </c>
      <c r="L28" s="1" t="s">
        <v>34</v>
      </c>
      <c r="M28" s="1">
        <v>1320</v>
      </c>
      <c r="N28" s="1" t="s">
        <v>22</v>
      </c>
      <c r="O28" s="1">
        <f t="shared" ref="O28:O31" si="20">_xlfn.XLOOKUP(L28,$A$2:$A$113,$D$2:$D$113)</f>
        <v>0.188</v>
      </c>
      <c r="P28" s="17">
        <f t="shared" si="16"/>
        <v>248.16</v>
      </c>
      <c r="R28" s="1" t="s">
        <v>174</v>
      </c>
      <c r="S28" s="1">
        <v>15</v>
      </c>
      <c r="T28" s="1" t="s">
        <v>22</v>
      </c>
      <c r="U28" s="1">
        <f t="shared" ref="U28:U30" si="21">_xlfn.XLOOKUP(R28,$A$2:$A$113,$D$2:$D$113)</f>
        <v>0.88200000000000001</v>
      </c>
      <c r="V28" s="17">
        <f t="shared" si="17"/>
        <v>13.23</v>
      </c>
      <c r="X28" s="75" t="s">
        <v>493</v>
      </c>
      <c r="Y28" s="76"/>
      <c r="Z28" s="76"/>
      <c r="AA28" s="76"/>
      <c r="AB28" s="77"/>
    </row>
    <row r="29" spans="1:28" x14ac:dyDescent="0.2">
      <c r="A29" s="1" t="s">
        <v>95</v>
      </c>
      <c r="B29" s="3">
        <v>98.75</v>
      </c>
      <c r="C29" s="5" t="s">
        <v>12</v>
      </c>
      <c r="D29" s="6">
        <f t="shared" si="0"/>
        <v>9.8750000000000004E-2</v>
      </c>
      <c r="F29" s="1" t="s">
        <v>41</v>
      </c>
      <c r="G29" s="1">
        <f>SUM(G27:G28)</f>
        <v>7600</v>
      </c>
      <c r="H29" s="1" t="s">
        <v>22</v>
      </c>
      <c r="I29" s="1"/>
      <c r="J29" s="17">
        <f>SUM(J27:J28)</f>
        <v>192.74</v>
      </c>
      <c r="L29" s="1" t="s">
        <v>88</v>
      </c>
      <c r="M29" s="1">
        <v>880</v>
      </c>
      <c r="N29" s="1" t="s">
        <v>22</v>
      </c>
      <c r="O29" s="1">
        <f t="shared" si="20"/>
        <v>0.35039999999999999</v>
      </c>
      <c r="P29" s="17">
        <f t="shared" si="16"/>
        <v>308.35199999999998</v>
      </c>
      <c r="R29" s="1" t="s">
        <v>176</v>
      </c>
      <c r="S29" s="1">
        <v>15</v>
      </c>
      <c r="T29" s="1" t="s">
        <v>22</v>
      </c>
      <c r="U29" s="1">
        <f t="shared" si="21"/>
        <v>0.82799999999999996</v>
      </c>
      <c r="V29" s="17">
        <f t="shared" si="17"/>
        <v>12.42</v>
      </c>
      <c r="X29" s="1" t="s">
        <v>481</v>
      </c>
      <c r="Y29" s="1">
        <v>120</v>
      </c>
      <c r="Z29" s="1" t="s">
        <v>22</v>
      </c>
      <c r="AA29" s="1">
        <v>0</v>
      </c>
      <c r="AB29" s="1">
        <f>AA29*Y29</f>
        <v>0</v>
      </c>
    </row>
    <row r="30" spans="1:28" x14ac:dyDescent="0.2">
      <c r="A30" s="1" t="s">
        <v>96</v>
      </c>
      <c r="B30" s="3">
        <v>498</v>
      </c>
      <c r="C30" s="5" t="s">
        <v>73</v>
      </c>
      <c r="D30" s="7">
        <f>B30/300</f>
        <v>1.66</v>
      </c>
      <c r="F30" s="1" t="s">
        <v>43</v>
      </c>
      <c r="G30" s="1"/>
      <c r="H30" s="1"/>
      <c r="I30" s="1"/>
      <c r="J30" s="20">
        <f>J29/G29</f>
        <v>2.5360526315789476E-2</v>
      </c>
      <c r="L30" s="1" t="s">
        <v>28</v>
      </c>
      <c r="M30" s="1">
        <v>880</v>
      </c>
      <c r="N30" s="1" t="s">
        <v>22</v>
      </c>
      <c r="O30" s="1">
        <f t="shared" si="20"/>
        <v>7.0999999999999994E-2</v>
      </c>
      <c r="P30" s="17">
        <f t="shared" si="16"/>
        <v>62.48</v>
      </c>
      <c r="R30" s="1" t="s">
        <v>88</v>
      </c>
      <c r="S30" s="1">
        <v>15</v>
      </c>
      <c r="T30" s="1" t="s">
        <v>22</v>
      </c>
      <c r="U30" s="1">
        <f t="shared" si="21"/>
        <v>0.35039999999999999</v>
      </c>
      <c r="V30" s="17">
        <f t="shared" si="17"/>
        <v>5.2560000000000002</v>
      </c>
      <c r="X30" s="1" t="s">
        <v>482</v>
      </c>
      <c r="Y30" s="1">
        <v>40</v>
      </c>
      <c r="Z30" s="1" t="s">
        <v>22</v>
      </c>
      <c r="AA30" s="1">
        <v>1.7000000000000001E-2</v>
      </c>
      <c r="AB30" s="1">
        <f>AA30*Y30</f>
        <v>0.68</v>
      </c>
    </row>
    <row r="31" spans="1:28" x14ac:dyDescent="0.2">
      <c r="A31" s="1" t="s">
        <v>38</v>
      </c>
      <c r="B31" s="3">
        <v>385</v>
      </c>
      <c r="C31" s="5" t="s">
        <v>12</v>
      </c>
      <c r="D31" s="6">
        <f t="shared" si="0"/>
        <v>0.38500000000000001</v>
      </c>
      <c r="L31" s="1" t="s">
        <v>48</v>
      </c>
      <c r="M31" s="1">
        <v>2310</v>
      </c>
      <c r="N31" s="1" t="s">
        <v>22</v>
      </c>
      <c r="O31" s="1">
        <f t="shared" si="20"/>
        <v>0.28125</v>
      </c>
      <c r="P31" s="17">
        <f t="shared" si="16"/>
        <v>649.6875</v>
      </c>
      <c r="R31" s="1" t="s">
        <v>41</v>
      </c>
      <c r="S31" s="1">
        <f>SUM(S26:S30)</f>
        <v>1015</v>
      </c>
      <c r="T31" s="1" t="s">
        <v>22</v>
      </c>
      <c r="U31" s="1"/>
      <c r="V31" s="17">
        <f>SUM(V26:V30)</f>
        <v>78.587800000000001</v>
      </c>
      <c r="X31" s="1" t="s">
        <v>41</v>
      </c>
      <c r="Y31" s="1"/>
      <c r="Z31" s="1"/>
      <c r="AA31" s="1"/>
      <c r="AB31" s="21">
        <f>SUM(AB29:AB30)</f>
        <v>0.68</v>
      </c>
    </row>
    <row r="32" spans="1:28" x14ac:dyDescent="0.2">
      <c r="A32" s="1" t="s">
        <v>100</v>
      </c>
      <c r="B32" s="3">
        <v>247.35</v>
      </c>
      <c r="C32" s="5" t="s">
        <v>12</v>
      </c>
      <c r="D32" s="6">
        <f t="shared" si="0"/>
        <v>0.24734999999999999</v>
      </c>
      <c r="F32" s="92" t="s">
        <v>424</v>
      </c>
      <c r="G32" s="93"/>
      <c r="H32" s="93"/>
      <c r="I32" s="93"/>
      <c r="J32" s="94"/>
      <c r="L32" s="1" t="s">
        <v>41</v>
      </c>
      <c r="M32" s="1">
        <f>SUM(M26:M31)</f>
        <v>15710</v>
      </c>
      <c r="N32" s="1" t="s">
        <v>22</v>
      </c>
      <c r="O32" s="1"/>
      <c r="P32" s="17">
        <f>SUM(P26:P31)</f>
        <v>1455.5974999999999</v>
      </c>
      <c r="R32" s="1" t="s">
        <v>43</v>
      </c>
      <c r="S32" s="1"/>
      <c r="T32" s="1"/>
      <c r="U32" s="1"/>
      <c r="V32" s="20">
        <f>V31/S31</f>
        <v>7.7426403940886707E-2</v>
      </c>
    </row>
    <row r="33" spans="1:28" x14ac:dyDescent="0.2">
      <c r="A33" s="1" t="s">
        <v>104</v>
      </c>
      <c r="B33" s="3">
        <v>298.3</v>
      </c>
      <c r="C33" s="5" t="s">
        <v>12</v>
      </c>
      <c r="D33" s="6">
        <f t="shared" si="0"/>
        <v>0.29830000000000001</v>
      </c>
      <c r="F33" s="1" t="s">
        <v>425</v>
      </c>
      <c r="G33" s="1">
        <v>7600</v>
      </c>
      <c r="H33" s="1" t="s">
        <v>22</v>
      </c>
      <c r="I33" s="1">
        <v>2.5000000000000001E-2</v>
      </c>
      <c r="J33" s="1">
        <f>I33*G33</f>
        <v>190</v>
      </c>
      <c r="L33" s="1" t="s">
        <v>43</v>
      </c>
      <c r="M33" s="1"/>
      <c r="N33" s="1"/>
      <c r="O33" s="1"/>
      <c r="P33" s="20">
        <f>P32/M32</f>
        <v>9.2654201145767015E-2</v>
      </c>
      <c r="X33" s="62" t="s">
        <v>127</v>
      </c>
      <c r="Y33" s="62"/>
      <c r="Z33" s="62"/>
      <c r="AA33" s="62"/>
      <c r="AB33" s="62"/>
    </row>
    <row r="34" spans="1:28" x14ac:dyDescent="0.2">
      <c r="A34" s="1" t="s">
        <v>48</v>
      </c>
      <c r="B34" s="3">
        <v>281.25</v>
      </c>
      <c r="C34" s="5" t="s">
        <v>12</v>
      </c>
      <c r="D34" s="6">
        <f t="shared" si="0"/>
        <v>0.28125</v>
      </c>
      <c r="F34" s="1" t="s">
        <v>41</v>
      </c>
      <c r="G34" s="1" t="s">
        <v>490</v>
      </c>
      <c r="H34" s="1"/>
      <c r="I34" s="1"/>
      <c r="J34" s="41">
        <f>SUM(J33)</f>
        <v>190</v>
      </c>
      <c r="R34" s="187" t="s">
        <v>486</v>
      </c>
      <c r="S34" s="188"/>
      <c r="T34" s="188"/>
      <c r="U34" s="188"/>
      <c r="V34" s="189"/>
      <c r="X34" s="1" t="s">
        <v>798</v>
      </c>
      <c r="Y34" s="1">
        <v>300</v>
      </c>
      <c r="Z34" s="1" t="s">
        <v>129</v>
      </c>
      <c r="AA34" s="55" t="s">
        <v>581</v>
      </c>
      <c r="AB34" s="56"/>
    </row>
    <row r="35" spans="1:28" x14ac:dyDescent="0.2">
      <c r="A35" s="1" t="s">
        <v>105</v>
      </c>
      <c r="B35" s="3">
        <v>299.16000000000003</v>
      </c>
      <c r="C35" s="5" t="s">
        <v>12</v>
      </c>
      <c r="D35" s="6">
        <f t="shared" si="0"/>
        <v>0.29916000000000004</v>
      </c>
      <c r="F35" s="1" t="s">
        <v>487</v>
      </c>
      <c r="G35" s="1"/>
      <c r="H35" s="1"/>
      <c r="I35" s="1"/>
      <c r="J35" s="21">
        <f>J34/47</f>
        <v>4.042553191489362</v>
      </c>
      <c r="L35" s="79" t="s">
        <v>476</v>
      </c>
      <c r="M35" s="80"/>
      <c r="N35" s="80"/>
      <c r="O35" s="80"/>
      <c r="P35" s="81"/>
      <c r="R35" s="1" t="s">
        <v>479</v>
      </c>
      <c r="S35" s="1">
        <v>5035</v>
      </c>
      <c r="T35" s="1" t="s">
        <v>22</v>
      </c>
      <c r="U35" s="1">
        <v>1.7000000000000001E-2</v>
      </c>
      <c r="V35" s="1">
        <f>U35*S35</f>
        <v>85.595000000000013</v>
      </c>
      <c r="X35" s="1" t="s">
        <v>634</v>
      </c>
      <c r="Y35" s="1">
        <v>45</v>
      </c>
      <c r="Z35" s="1" t="s">
        <v>129</v>
      </c>
      <c r="AA35" s="55" t="s">
        <v>581</v>
      </c>
      <c r="AB35" s="56"/>
    </row>
    <row r="36" spans="1:28" ht="27.75" x14ac:dyDescent="0.2">
      <c r="A36" s="2" t="s">
        <v>106</v>
      </c>
      <c r="B36" s="3">
        <v>432.5</v>
      </c>
      <c r="C36" s="5" t="s">
        <v>12</v>
      </c>
      <c r="D36" s="6">
        <f t="shared" si="0"/>
        <v>0.4325</v>
      </c>
      <c r="L36" s="1" t="s">
        <v>426</v>
      </c>
      <c r="M36" s="1">
        <v>90</v>
      </c>
      <c r="N36" s="1" t="s">
        <v>22</v>
      </c>
      <c r="O36" s="1">
        <v>2.5000000000000001E-2</v>
      </c>
      <c r="P36" s="1">
        <f>O36*M36</f>
        <v>2.25</v>
      </c>
      <c r="R36" s="1" t="s">
        <v>485</v>
      </c>
      <c r="S36" s="1">
        <v>1015</v>
      </c>
      <c r="T36" s="1" t="s">
        <v>22</v>
      </c>
      <c r="U36" s="1">
        <v>7.3999999999999996E-2</v>
      </c>
      <c r="V36" s="1">
        <f>U36*S36</f>
        <v>75.11</v>
      </c>
      <c r="X36" s="1" t="s">
        <v>637</v>
      </c>
      <c r="Y36" s="1">
        <v>120</v>
      </c>
      <c r="Z36" s="1" t="s">
        <v>129</v>
      </c>
      <c r="AA36" s="55" t="s">
        <v>581</v>
      </c>
      <c r="AB36" s="56"/>
    </row>
    <row r="37" spans="1:28" x14ac:dyDescent="0.2">
      <c r="A37" s="2" t="s">
        <v>107</v>
      </c>
      <c r="B37" s="3">
        <v>317</v>
      </c>
      <c r="C37" s="5" t="s">
        <v>12</v>
      </c>
      <c r="D37" s="6">
        <f t="shared" si="0"/>
        <v>0.317</v>
      </c>
      <c r="F37" s="92" t="s">
        <v>427</v>
      </c>
      <c r="G37" s="93"/>
      <c r="H37" s="93"/>
      <c r="I37" s="93"/>
      <c r="J37" s="94"/>
      <c r="L37" s="1" t="s">
        <v>477</v>
      </c>
      <c r="M37" s="1">
        <v>75</v>
      </c>
      <c r="N37" s="1" t="s">
        <v>22</v>
      </c>
      <c r="O37" s="1">
        <v>9.2999999999999999E-2</v>
      </c>
      <c r="P37" s="1">
        <f>O37*M37</f>
        <v>6.9749999999999996</v>
      </c>
      <c r="R37" s="1" t="s">
        <v>41</v>
      </c>
      <c r="S37" s="1" t="s">
        <v>489</v>
      </c>
      <c r="T37" s="1"/>
      <c r="U37" s="1"/>
      <c r="V37" s="41">
        <f>SUM(V35:V36)</f>
        <v>160.70500000000001</v>
      </c>
      <c r="X37" s="1" t="s">
        <v>799</v>
      </c>
      <c r="Y37" s="1">
        <v>15</v>
      </c>
      <c r="Z37" s="1" t="s">
        <v>129</v>
      </c>
      <c r="AA37" s="55" t="s">
        <v>800</v>
      </c>
      <c r="AB37" s="56"/>
    </row>
    <row r="38" spans="1:28" x14ac:dyDescent="0.2">
      <c r="A38" s="2" t="s">
        <v>66</v>
      </c>
      <c r="B38" s="3">
        <v>356</v>
      </c>
      <c r="C38" s="5" t="s">
        <v>12</v>
      </c>
      <c r="D38" s="6">
        <f t="shared" si="0"/>
        <v>0.35599999999999998</v>
      </c>
      <c r="F38" s="1" t="s">
        <v>426</v>
      </c>
      <c r="G38" s="1">
        <v>7600</v>
      </c>
      <c r="H38" s="1" t="s">
        <v>22</v>
      </c>
      <c r="I38" s="1">
        <v>2.5000000000000001E-2</v>
      </c>
      <c r="J38" s="1">
        <f>I38*G38</f>
        <v>190</v>
      </c>
      <c r="L38" s="1" t="s">
        <v>41</v>
      </c>
      <c r="M38" s="1"/>
      <c r="N38" s="1"/>
      <c r="O38" s="1"/>
      <c r="P38" s="21">
        <f>SUM(P36:P37)</f>
        <v>9.2249999999999996</v>
      </c>
      <c r="R38" s="1" t="s">
        <v>487</v>
      </c>
      <c r="S38" s="1"/>
      <c r="T38" s="1"/>
      <c r="U38" s="1"/>
      <c r="V38" s="21">
        <f>V37/40</f>
        <v>4.0176250000000007</v>
      </c>
      <c r="X38" s="1" t="s">
        <v>801</v>
      </c>
      <c r="Y38" s="1">
        <v>70</v>
      </c>
      <c r="Z38" s="1" t="s">
        <v>129</v>
      </c>
      <c r="AA38" s="55" t="s">
        <v>581</v>
      </c>
      <c r="AB38" s="56"/>
    </row>
    <row r="39" spans="1:28" x14ac:dyDescent="0.2">
      <c r="A39" s="2" t="s">
        <v>36</v>
      </c>
      <c r="B39" s="3">
        <v>329</v>
      </c>
      <c r="C39" s="5" t="s">
        <v>12</v>
      </c>
      <c r="D39" s="6">
        <f t="shared" si="0"/>
        <v>0.32900000000000001</v>
      </c>
      <c r="F39" s="1" t="s">
        <v>41</v>
      </c>
      <c r="G39" s="1" t="s">
        <v>491</v>
      </c>
      <c r="H39" s="1"/>
      <c r="I39" s="1"/>
      <c r="J39" s="41">
        <f>SUM(J38:J38)</f>
        <v>190</v>
      </c>
      <c r="X39" s="1" t="s">
        <v>771</v>
      </c>
      <c r="Y39" s="1">
        <f>SUM(Y34:Y38)</f>
        <v>550</v>
      </c>
      <c r="Z39" s="1" t="s">
        <v>129</v>
      </c>
      <c r="AA39" s="55">
        <v>950</v>
      </c>
      <c r="AB39" s="56"/>
    </row>
    <row r="40" spans="1:28" x14ac:dyDescent="0.2">
      <c r="A40" s="2" t="s">
        <v>111</v>
      </c>
      <c r="B40" s="3">
        <v>329.8</v>
      </c>
      <c r="C40" s="5" t="s">
        <v>12</v>
      </c>
      <c r="D40" s="6">
        <f t="shared" si="0"/>
        <v>0.32980000000000004</v>
      </c>
      <c r="F40" s="8"/>
      <c r="G40" s="8"/>
      <c r="H40" s="8"/>
      <c r="I40" s="8"/>
      <c r="J40" s="42">
        <f>J39/55</f>
        <v>3.4545454545454546</v>
      </c>
      <c r="L40" s="100" t="s">
        <v>127</v>
      </c>
      <c r="M40" s="100"/>
      <c r="N40" s="100"/>
      <c r="O40" s="100"/>
      <c r="P40" s="100"/>
      <c r="R40" s="187" t="s">
        <v>488</v>
      </c>
      <c r="S40" s="188"/>
      <c r="T40" s="188"/>
      <c r="U40" s="188"/>
      <c r="V40" s="189"/>
      <c r="X40" s="33" t="s">
        <v>240</v>
      </c>
      <c r="Y40" s="35">
        <f>Y39/AA39</f>
        <v>0.57894736842105265</v>
      </c>
      <c r="Z40" s="33" t="s">
        <v>129</v>
      </c>
      <c r="AA40" s="57" t="s">
        <v>802</v>
      </c>
      <c r="AB40" s="58"/>
    </row>
    <row r="41" spans="1:28" x14ac:dyDescent="0.2">
      <c r="A41" s="1" t="s">
        <v>113</v>
      </c>
      <c r="B41" s="3">
        <v>445.5</v>
      </c>
      <c r="C41" s="5" t="s">
        <v>12</v>
      </c>
      <c r="D41" s="6">
        <f t="shared" si="0"/>
        <v>0.44550000000000001</v>
      </c>
      <c r="F41" s="1" t="s">
        <v>96</v>
      </c>
      <c r="G41" s="1">
        <v>3</v>
      </c>
      <c r="H41" s="1" t="s">
        <v>73</v>
      </c>
      <c r="I41" s="1">
        <v>1.66</v>
      </c>
      <c r="J41" s="41">
        <f>I41*G41</f>
        <v>4.9799999999999995</v>
      </c>
      <c r="L41" s="1" t="s">
        <v>568</v>
      </c>
      <c r="M41" s="1">
        <v>30</v>
      </c>
      <c r="N41" s="1" t="s">
        <v>129</v>
      </c>
      <c r="O41" s="55" t="s">
        <v>567</v>
      </c>
      <c r="P41" s="56"/>
      <c r="R41" s="1" t="s">
        <v>479</v>
      </c>
      <c r="S41" s="1">
        <v>5035</v>
      </c>
      <c r="T41" s="1" t="s">
        <v>22</v>
      </c>
      <c r="U41" s="1">
        <v>1.7000000000000001E-2</v>
      </c>
      <c r="V41" s="1">
        <f>U41*S41</f>
        <v>85.595000000000013</v>
      </c>
    </row>
    <row r="42" spans="1:28" x14ac:dyDescent="0.2">
      <c r="A42" s="1" t="s">
        <v>115</v>
      </c>
      <c r="B42" s="3">
        <v>24.09</v>
      </c>
      <c r="C42" s="5" t="s">
        <v>12</v>
      </c>
      <c r="D42" s="6">
        <f t="shared" si="0"/>
        <v>2.409E-2</v>
      </c>
      <c r="F42" s="1" t="s">
        <v>492</v>
      </c>
      <c r="G42" s="1"/>
      <c r="H42" s="1"/>
      <c r="I42" s="1"/>
      <c r="J42" s="21">
        <f>SUM(J40:J41)</f>
        <v>8.4345454545454537</v>
      </c>
      <c r="L42" s="1" t="s">
        <v>569</v>
      </c>
      <c r="M42" s="1">
        <v>20</v>
      </c>
      <c r="N42" s="1" t="s">
        <v>129</v>
      </c>
      <c r="O42" s="55" t="s">
        <v>567</v>
      </c>
      <c r="P42" s="56"/>
      <c r="R42" s="1" t="s">
        <v>485</v>
      </c>
      <c r="S42" s="1">
        <v>1015</v>
      </c>
      <c r="T42" s="1" t="s">
        <v>22</v>
      </c>
      <c r="U42" s="1">
        <v>7.6999999999999999E-2</v>
      </c>
      <c r="V42" s="1">
        <f>U42*S42</f>
        <v>78.155000000000001</v>
      </c>
      <c r="X42" s="75" t="s">
        <v>820</v>
      </c>
      <c r="Y42" s="77"/>
    </row>
    <row r="43" spans="1:28" x14ac:dyDescent="0.2">
      <c r="A43" s="1" t="s">
        <v>120</v>
      </c>
      <c r="B43" s="3">
        <v>41.4</v>
      </c>
      <c r="C43" s="5" t="s">
        <v>12</v>
      </c>
      <c r="D43" s="6">
        <f t="shared" si="0"/>
        <v>4.1399999999999999E-2</v>
      </c>
      <c r="L43" s="1" t="s">
        <v>570</v>
      </c>
      <c r="M43" s="1">
        <v>35</v>
      </c>
      <c r="N43" s="1" t="s">
        <v>129</v>
      </c>
      <c r="O43" s="55" t="s">
        <v>567</v>
      </c>
      <c r="P43" s="56"/>
      <c r="R43" s="1" t="s">
        <v>41</v>
      </c>
      <c r="S43" s="1" t="s">
        <v>489</v>
      </c>
      <c r="T43" s="1"/>
      <c r="U43" s="1"/>
      <c r="V43" s="41">
        <f>SUM(V41:V42)</f>
        <v>163.75</v>
      </c>
      <c r="X43" s="45" t="s">
        <v>415</v>
      </c>
      <c r="Y43" s="43">
        <f>AB31</f>
        <v>0.68</v>
      </c>
    </row>
    <row r="44" spans="1:28" x14ac:dyDescent="0.2">
      <c r="A44" s="1" t="s">
        <v>122</v>
      </c>
      <c r="B44" s="3">
        <v>63.2</v>
      </c>
      <c r="C44" s="5" t="s">
        <v>12</v>
      </c>
      <c r="D44" s="6">
        <f t="shared" si="0"/>
        <v>6.3200000000000006E-2</v>
      </c>
      <c r="F44" s="92" t="s">
        <v>792</v>
      </c>
      <c r="G44" s="93"/>
      <c r="H44" s="93"/>
      <c r="I44" s="93"/>
      <c r="J44" s="94"/>
      <c r="L44" s="1" t="s">
        <v>571</v>
      </c>
      <c r="M44" s="1">
        <v>90</v>
      </c>
      <c r="N44" s="1" t="s">
        <v>129</v>
      </c>
      <c r="O44" s="55" t="s">
        <v>567</v>
      </c>
      <c r="P44" s="56"/>
      <c r="R44" s="1" t="s">
        <v>487</v>
      </c>
      <c r="S44" s="1"/>
      <c r="T44" s="1"/>
      <c r="U44" s="1"/>
      <c r="V44" s="21">
        <f>V43/40</f>
        <v>4.09375</v>
      </c>
      <c r="X44" s="5" t="s">
        <v>496</v>
      </c>
      <c r="Y44" s="1">
        <f>Y40*O51</f>
        <v>3.6184210526315792</v>
      </c>
    </row>
    <row r="45" spans="1:28" x14ac:dyDescent="0.2">
      <c r="A45" s="1" t="s">
        <v>126</v>
      </c>
      <c r="B45" s="3">
        <v>173.49</v>
      </c>
      <c r="C45" s="5" t="s">
        <v>12</v>
      </c>
      <c r="D45" s="6">
        <f t="shared" si="0"/>
        <v>0.17349000000000001</v>
      </c>
      <c r="F45" s="1" t="s">
        <v>572</v>
      </c>
      <c r="G45" s="1">
        <v>35</v>
      </c>
      <c r="H45" s="1" t="s">
        <v>129</v>
      </c>
      <c r="I45" s="55" t="s">
        <v>573</v>
      </c>
      <c r="J45" s="56"/>
      <c r="L45" s="1" t="s">
        <v>614</v>
      </c>
      <c r="M45" s="1">
        <v>20</v>
      </c>
      <c r="N45" s="1" t="s">
        <v>615</v>
      </c>
      <c r="O45" s="55" t="s">
        <v>599</v>
      </c>
      <c r="P45" s="56"/>
      <c r="X45" s="46" t="s">
        <v>512</v>
      </c>
      <c r="Y45" s="21">
        <f>SUM(Y43:Y44)</f>
        <v>4.2984210526315794</v>
      </c>
    </row>
    <row r="46" spans="1:28" x14ac:dyDescent="0.2">
      <c r="A46" s="1" t="s">
        <v>29</v>
      </c>
      <c r="B46" s="3">
        <v>81</v>
      </c>
      <c r="C46" s="5" t="s">
        <v>12</v>
      </c>
      <c r="D46" s="6">
        <f t="shared" si="0"/>
        <v>8.1000000000000003E-2</v>
      </c>
      <c r="F46" s="1" t="s">
        <v>574</v>
      </c>
      <c r="G46" s="1">
        <v>128</v>
      </c>
      <c r="H46" s="1" t="s">
        <v>129</v>
      </c>
      <c r="I46" s="55" t="s">
        <v>573</v>
      </c>
      <c r="J46" s="56"/>
      <c r="L46" s="1" t="s">
        <v>598</v>
      </c>
      <c r="M46" s="1">
        <v>75</v>
      </c>
      <c r="N46" s="1" t="s">
        <v>129</v>
      </c>
      <c r="O46" s="55" t="s">
        <v>599</v>
      </c>
      <c r="P46" s="56"/>
      <c r="R46" s="85" t="s">
        <v>127</v>
      </c>
      <c r="S46" s="85"/>
      <c r="T46" s="85"/>
      <c r="U46" s="85"/>
      <c r="V46" s="85"/>
    </row>
    <row r="47" spans="1:28" x14ac:dyDescent="0.2">
      <c r="A47" s="1" t="s">
        <v>90</v>
      </c>
      <c r="B47" s="3">
        <v>930</v>
      </c>
      <c r="C47" s="5" t="s">
        <v>12</v>
      </c>
      <c r="D47" s="6">
        <f t="shared" si="0"/>
        <v>0.93</v>
      </c>
      <c r="F47" s="1" t="s">
        <v>598</v>
      </c>
      <c r="G47" s="1">
        <v>75</v>
      </c>
      <c r="H47" s="1" t="s">
        <v>129</v>
      </c>
      <c r="I47" s="55" t="s">
        <v>599</v>
      </c>
      <c r="J47" s="56"/>
      <c r="L47" s="1" t="s">
        <v>646</v>
      </c>
      <c r="M47" s="1">
        <v>180</v>
      </c>
      <c r="N47" s="1" t="s">
        <v>129</v>
      </c>
      <c r="O47" s="55" t="s">
        <v>647</v>
      </c>
      <c r="P47" s="56"/>
      <c r="R47" s="1" t="s">
        <v>526</v>
      </c>
      <c r="S47" s="1">
        <v>60</v>
      </c>
      <c r="T47" s="1" t="s">
        <v>129</v>
      </c>
      <c r="U47" s="55" t="s">
        <v>527</v>
      </c>
      <c r="V47" s="56"/>
    </row>
    <row r="48" spans="1:28" x14ac:dyDescent="0.2">
      <c r="A48" s="1" t="s">
        <v>130</v>
      </c>
      <c r="B48" s="3">
        <v>750</v>
      </c>
      <c r="C48" s="5" t="s">
        <v>12</v>
      </c>
      <c r="D48" s="6">
        <f t="shared" si="0"/>
        <v>0.75</v>
      </c>
      <c r="F48" s="1" t="s">
        <v>614</v>
      </c>
      <c r="G48" s="1">
        <v>20</v>
      </c>
      <c r="H48" s="1" t="s">
        <v>615</v>
      </c>
      <c r="I48" s="55" t="s">
        <v>599</v>
      </c>
      <c r="J48" s="56"/>
      <c r="L48" s="1" t="s">
        <v>41</v>
      </c>
      <c r="M48" s="1">
        <f>SUM(M41:M47)</f>
        <v>450</v>
      </c>
      <c r="N48" s="1" t="s">
        <v>129</v>
      </c>
      <c r="O48" s="55">
        <v>320</v>
      </c>
      <c r="P48" s="56"/>
      <c r="R48" s="1" t="s">
        <v>528</v>
      </c>
      <c r="S48" s="1">
        <v>40</v>
      </c>
      <c r="T48" s="1" t="s">
        <v>129</v>
      </c>
      <c r="U48" s="55" t="s">
        <v>599</v>
      </c>
      <c r="V48" s="56"/>
    </row>
    <row r="49" spans="1:22" x14ac:dyDescent="0.2">
      <c r="A49" s="1" t="s">
        <v>135</v>
      </c>
      <c r="B49" s="3">
        <v>1224</v>
      </c>
      <c r="C49" s="5" t="s">
        <v>12</v>
      </c>
      <c r="D49" s="6">
        <f t="shared" si="0"/>
        <v>1.224</v>
      </c>
      <c r="F49" s="1" t="s">
        <v>727</v>
      </c>
      <c r="G49" s="1">
        <v>10</v>
      </c>
      <c r="H49" s="1" t="s">
        <v>129</v>
      </c>
      <c r="I49" s="55" t="s">
        <v>573</v>
      </c>
      <c r="J49" s="56"/>
      <c r="L49" s="33" t="s">
        <v>240</v>
      </c>
      <c r="M49" s="35">
        <f>M48/O48</f>
        <v>1.40625</v>
      </c>
      <c r="N49" s="33" t="s">
        <v>129</v>
      </c>
      <c r="O49" s="57" t="s">
        <v>794</v>
      </c>
      <c r="P49" s="58"/>
      <c r="R49" s="1" t="s">
        <v>529</v>
      </c>
      <c r="S49" s="1"/>
      <c r="T49" s="1"/>
      <c r="U49" s="55"/>
      <c r="V49" s="56"/>
    </row>
    <row r="50" spans="1:22" x14ac:dyDescent="0.2">
      <c r="A50" s="1" t="s">
        <v>140</v>
      </c>
      <c r="B50" s="3">
        <v>760</v>
      </c>
      <c r="C50" s="5" t="s">
        <v>12</v>
      </c>
      <c r="D50" s="6">
        <f t="shared" si="0"/>
        <v>0.76</v>
      </c>
      <c r="F50" s="1" t="s">
        <v>41</v>
      </c>
      <c r="G50" s="1">
        <f>SUM(G45:G49)</f>
        <v>268</v>
      </c>
      <c r="H50" s="1" t="s">
        <v>129</v>
      </c>
      <c r="I50" s="55">
        <v>282</v>
      </c>
      <c r="J50" s="56"/>
      <c r="R50" s="1" t="s">
        <v>530</v>
      </c>
      <c r="S50" s="1">
        <v>300</v>
      </c>
      <c r="T50" s="1" t="s">
        <v>129</v>
      </c>
      <c r="U50" s="55">
        <v>1045</v>
      </c>
      <c r="V50" s="56"/>
    </row>
    <row r="51" spans="1:22" x14ac:dyDescent="0.2">
      <c r="A51" s="1" t="s">
        <v>44</v>
      </c>
      <c r="B51" s="3">
        <v>658</v>
      </c>
      <c r="C51" s="5" t="s">
        <v>12</v>
      </c>
      <c r="D51" s="6">
        <f t="shared" si="0"/>
        <v>0.65800000000000003</v>
      </c>
      <c r="F51" s="33" t="s">
        <v>240</v>
      </c>
      <c r="G51" s="35">
        <f>G50/I50</f>
        <v>0.95035460992907805</v>
      </c>
      <c r="H51" s="33" t="s">
        <v>129</v>
      </c>
      <c r="I51" s="57" t="s">
        <v>728</v>
      </c>
      <c r="J51" s="58"/>
      <c r="L51" s="1" t="s">
        <v>503</v>
      </c>
      <c r="M51" s="1">
        <v>375</v>
      </c>
      <c r="N51" s="1" t="s">
        <v>494</v>
      </c>
      <c r="O51" s="1">
        <f>M51/60</f>
        <v>6.25</v>
      </c>
      <c r="P51" s="1" t="s">
        <v>129</v>
      </c>
      <c r="R51" s="1" t="s">
        <v>532</v>
      </c>
      <c r="S51" s="1">
        <v>15</v>
      </c>
      <c r="T51" s="1" t="s">
        <v>129</v>
      </c>
      <c r="U51" s="55">
        <v>1045</v>
      </c>
      <c r="V51" s="56"/>
    </row>
    <row r="52" spans="1:22" x14ac:dyDescent="0.2">
      <c r="A52" s="1" t="s">
        <v>145</v>
      </c>
      <c r="B52" s="3">
        <v>836</v>
      </c>
      <c r="C52" s="5" t="s">
        <v>12</v>
      </c>
      <c r="D52" s="6">
        <f t="shared" si="0"/>
        <v>0.83599999999999997</v>
      </c>
      <c r="R52" s="1" t="s">
        <v>533</v>
      </c>
      <c r="S52" s="1">
        <v>5</v>
      </c>
      <c r="T52" s="1" t="s">
        <v>129</v>
      </c>
      <c r="U52" s="55"/>
      <c r="V52" s="56"/>
    </row>
    <row r="53" spans="1:22" x14ac:dyDescent="0.2">
      <c r="A53" s="1" t="s">
        <v>88</v>
      </c>
      <c r="B53" s="3">
        <v>350.4</v>
      </c>
      <c r="C53" s="5" t="s">
        <v>12</v>
      </c>
      <c r="D53" s="6">
        <f t="shared" si="0"/>
        <v>0.35039999999999999</v>
      </c>
      <c r="F53" s="92" t="s">
        <v>793</v>
      </c>
      <c r="G53" s="93"/>
      <c r="H53" s="93"/>
      <c r="I53" s="93"/>
      <c r="J53" s="94"/>
      <c r="L53" s="79" t="s">
        <v>475</v>
      </c>
      <c r="M53" s="81"/>
      <c r="R53" s="1" t="s">
        <v>598</v>
      </c>
      <c r="S53" s="1">
        <v>75</v>
      </c>
      <c r="T53" s="1" t="s">
        <v>129</v>
      </c>
      <c r="U53" s="55" t="s">
        <v>599</v>
      </c>
      <c r="V53" s="56"/>
    </row>
    <row r="54" spans="1:22" x14ac:dyDescent="0.2">
      <c r="A54" s="1" t="s">
        <v>148</v>
      </c>
      <c r="B54" s="3">
        <v>48.8</v>
      </c>
      <c r="C54" s="5" t="s">
        <v>12</v>
      </c>
      <c r="D54" s="6">
        <f t="shared" si="0"/>
        <v>4.8799999999999996E-2</v>
      </c>
      <c r="F54" s="1" t="s">
        <v>575</v>
      </c>
      <c r="G54" s="1">
        <v>30</v>
      </c>
      <c r="H54" s="1" t="s">
        <v>129</v>
      </c>
      <c r="I54" s="55" t="s">
        <v>576</v>
      </c>
      <c r="J54" s="56"/>
      <c r="L54" s="45" t="s">
        <v>415</v>
      </c>
      <c r="M54" s="43">
        <f>P38</f>
        <v>9.2249999999999996</v>
      </c>
      <c r="R54" s="1" t="s">
        <v>771</v>
      </c>
      <c r="S54" s="1">
        <f>SUM(S47:S53)</f>
        <v>495</v>
      </c>
      <c r="T54" s="1" t="s">
        <v>129</v>
      </c>
      <c r="U54" s="55">
        <v>1045</v>
      </c>
      <c r="V54" s="56"/>
    </row>
    <row r="55" spans="1:22" x14ac:dyDescent="0.2">
      <c r="A55" s="1" t="s">
        <v>150</v>
      </c>
      <c r="B55" s="3">
        <v>85</v>
      </c>
      <c r="C55" s="5" t="s">
        <v>12</v>
      </c>
      <c r="D55" s="6">
        <f t="shared" si="0"/>
        <v>8.5000000000000006E-2</v>
      </c>
      <c r="F55" s="1" t="s">
        <v>579</v>
      </c>
      <c r="G55" s="1">
        <v>150</v>
      </c>
      <c r="H55" s="1" t="s">
        <v>129</v>
      </c>
      <c r="I55" s="55" t="s">
        <v>580</v>
      </c>
      <c r="J55" s="56"/>
      <c r="L55" s="5" t="s">
        <v>496</v>
      </c>
      <c r="M55" s="1">
        <f>M49*O51</f>
        <v>8.7890625</v>
      </c>
      <c r="R55" s="33" t="s">
        <v>240</v>
      </c>
      <c r="S55" s="35">
        <f>S54/U54</f>
        <v>0.47368421052631576</v>
      </c>
      <c r="T55" s="33" t="s">
        <v>129</v>
      </c>
      <c r="U55" s="57" t="s">
        <v>795</v>
      </c>
      <c r="V55" s="58"/>
    </row>
    <row r="56" spans="1:22" x14ac:dyDescent="0.2">
      <c r="A56" s="1" t="s">
        <v>153</v>
      </c>
      <c r="B56" s="3">
        <v>144</v>
      </c>
      <c r="C56" s="5" t="s">
        <v>12</v>
      </c>
      <c r="D56" s="6">
        <f t="shared" si="0"/>
        <v>0.14399999999999999</v>
      </c>
      <c r="F56" s="1" t="s">
        <v>598</v>
      </c>
      <c r="G56" s="1">
        <v>75</v>
      </c>
      <c r="H56" s="1" t="s">
        <v>129</v>
      </c>
      <c r="I56" s="55" t="s">
        <v>599</v>
      </c>
      <c r="J56" s="56"/>
      <c r="L56" s="46" t="s">
        <v>512</v>
      </c>
      <c r="M56" s="21">
        <f>SUM(M54:M55)</f>
        <v>18.014062500000001</v>
      </c>
    </row>
    <row r="57" spans="1:22" x14ac:dyDescent="0.2">
      <c r="A57" s="1" t="s">
        <v>155</v>
      </c>
      <c r="B57" s="3">
        <v>157.44</v>
      </c>
      <c r="C57" s="5" t="s">
        <v>12</v>
      </c>
      <c r="D57" s="6">
        <f t="shared" si="0"/>
        <v>0.15744</v>
      </c>
      <c r="F57" s="1" t="s">
        <v>614</v>
      </c>
      <c r="G57" s="1">
        <v>20</v>
      </c>
      <c r="H57" s="1" t="s">
        <v>615</v>
      </c>
      <c r="I57" s="55" t="s">
        <v>599</v>
      </c>
      <c r="J57" s="56"/>
      <c r="R57" s="82" t="s">
        <v>796</v>
      </c>
      <c r="S57" s="84"/>
    </row>
    <row r="58" spans="1:22" x14ac:dyDescent="0.2">
      <c r="A58" s="1" t="s">
        <v>140</v>
      </c>
      <c r="B58" s="3">
        <v>812.8</v>
      </c>
      <c r="C58" s="5" t="s">
        <v>12</v>
      </c>
      <c r="D58" s="6">
        <f t="shared" si="0"/>
        <v>0.81279999999999997</v>
      </c>
      <c r="F58" s="1" t="s">
        <v>727</v>
      </c>
      <c r="G58" s="1">
        <v>10</v>
      </c>
      <c r="H58" s="1" t="s">
        <v>129</v>
      </c>
      <c r="I58" s="55" t="s">
        <v>580</v>
      </c>
      <c r="J58" s="56"/>
      <c r="R58" s="45" t="s">
        <v>415</v>
      </c>
      <c r="S58" s="43">
        <f>V38</f>
        <v>4.0176250000000007</v>
      </c>
    </row>
    <row r="59" spans="1:22" x14ac:dyDescent="0.2">
      <c r="A59" s="1" t="s">
        <v>74</v>
      </c>
      <c r="B59" s="3">
        <v>206.63</v>
      </c>
      <c r="C59" s="5" t="s">
        <v>12</v>
      </c>
      <c r="D59" s="6">
        <f t="shared" si="0"/>
        <v>0.20663000000000001</v>
      </c>
      <c r="F59" s="1" t="s">
        <v>41</v>
      </c>
      <c r="G59" s="1">
        <f>SUM(G54:G58)</f>
        <v>285</v>
      </c>
      <c r="H59" s="1" t="s">
        <v>129</v>
      </c>
      <c r="I59" s="55">
        <v>290</v>
      </c>
      <c r="J59" s="56"/>
      <c r="R59" s="5" t="s">
        <v>496</v>
      </c>
      <c r="S59" s="1">
        <f>S55*O51</f>
        <v>2.9605263157894735</v>
      </c>
    </row>
    <row r="60" spans="1:22" x14ac:dyDescent="0.2">
      <c r="A60" s="1" t="s">
        <v>161</v>
      </c>
      <c r="B60" s="3">
        <v>50</v>
      </c>
      <c r="C60" s="5" t="s">
        <v>12</v>
      </c>
      <c r="D60" s="6">
        <f t="shared" si="0"/>
        <v>0.05</v>
      </c>
      <c r="F60" s="33" t="s">
        <v>240</v>
      </c>
      <c r="G60" s="35">
        <f>G59/I59</f>
        <v>0.98275862068965514</v>
      </c>
      <c r="H60" s="33" t="s">
        <v>129</v>
      </c>
      <c r="I60" s="57" t="s">
        <v>729</v>
      </c>
      <c r="J60" s="58"/>
      <c r="R60" s="46" t="s">
        <v>512</v>
      </c>
      <c r="S60" s="21">
        <f>SUM(S58:S59)</f>
        <v>6.9781513157894741</v>
      </c>
    </row>
    <row r="61" spans="1:22" x14ac:dyDescent="0.2">
      <c r="A61" s="1" t="s">
        <v>163</v>
      </c>
      <c r="B61" s="3">
        <v>75</v>
      </c>
      <c r="C61" s="5" t="s">
        <v>12</v>
      </c>
      <c r="D61" s="6">
        <f t="shared" si="0"/>
        <v>7.4999999999999997E-2</v>
      </c>
    </row>
    <row r="62" spans="1:22" x14ac:dyDescent="0.2">
      <c r="A62" s="1" t="s">
        <v>164</v>
      </c>
      <c r="B62" s="3">
        <v>173.2</v>
      </c>
      <c r="C62" s="5" t="s">
        <v>12</v>
      </c>
      <c r="D62" s="6">
        <f t="shared" si="0"/>
        <v>0.17319999999999999</v>
      </c>
      <c r="F62" s="1" t="s">
        <v>503</v>
      </c>
      <c r="G62" s="1">
        <v>375</v>
      </c>
      <c r="H62" s="1" t="s">
        <v>494</v>
      </c>
      <c r="I62" s="1">
        <f>G62/60</f>
        <v>6.25</v>
      </c>
      <c r="J62" s="1" t="s">
        <v>129</v>
      </c>
      <c r="R62" s="82" t="s">
        <v>797</v>
      </c>
      <c r="S62" s="84"/>
    </row>
    <row r="63" spans="1:22" x14ac:dyDescent="0.2">
      <c r="A63" s="1" t="s">
        <v>137</v>
      </c>
      <c r="B63" s="3">
        <v>611</v>
      </c>
      <c r="C63" s="5" t="s">
        <v>12</v>
      </c>
      <c r="D63" s="6">
        <f t="shared" si="0"/>
        <v>0.61099999999999999</v>
      </c>
      <c r="R63" s="45" t="s">
        <v>415</v>
      </c>
      <c r="S63" s="43">
        <f>V44</f>
        <v>4.09375</v>
      </c>
    </row>
    <row r="64" spans="1:22" x14ac:dyDescent="0.2">
      <c r="A64" s="1" t="s">
        <v>63</v>
      </c>
      <c r="B64" s="3">
        <v>454</v>
      </c>
      <c r="C64" s="5" t="s">
        <v>12</v>
      </c>
      <c r="D64" s="6">
        <f t="shared" si="0"/>
        <v>0.45400000000000001</v>
      </c>
      <c r="F64" s="185" t="s">
        <v>790</v>
      </c>
      <c r="G64" s="186"/>
      <c r="R64" s="5" t="s">
        <v>496</v>
      </c>
      <c r="S64" s="1">
        <f>S55*O51</f>
        <v>2.9605263157894735</v>
      </c>
    </row>
    <row r="65" spans="1:19" x14ac:dyDescent="0.2">
      <c r="A65" s="1" t="s">
        <v>165</v>
      </c>
      <c r="B65" s="3">
        <v>224.8</v>
      </c>
      <c r="C65" s="5" t="s">
        <v>12</v>
      </c>
      <c r="D65" s="6">
        <f t="shared" si="0"/>
        <v>0.2248</v>
      </c>
      <c r="F65" s="45" t="s">
        <v>415</v>
      </c>
      <c r="G65" s="43">
        <f>J35</f>
        <v>4.042553191489362</v>
      </c>
      <c r="R65" s="46" t="s">
        <v>512</v>
      </c>
      <c r="S65" s="21">
        <f>SUM(S63:S64)</f>
        <v>7.0542763157894735</v>
      </c>
    </row>
    <row r="66" spans="1:19" x14ac:dyDescent="0.2">
      <c r="A66" s="1" t="s">
        <v>168</v>
      </c>
      <c r="B66" s="3">
        <v>141.4</v>
      </c>
      <c r="C66" s="5" t="s">
        <v>12</v>
      </c>
      <c r="D66" s="6">
        <f t="shared" si="0"/>
        <v>0.1414</v>
      </c>
      <c r="F66" s="5" t="s">
        <v>496</v>
      </c>
      <c r="G66" s="1">
        <f>G51*I62</f>
        <v>5.9397163120567376</v>
      </c>
    </row>
    <row r="67" spans="1:19" x14ac:dyDescent="0.2">
      <c r="A67" s="1" t="s">
        <v>169</v>
      </c>
      <c r="B67" s="3">
        <v>164</v>
      </c>
      <c r="C67" s="5" t="s">
        <v>12</v>
      </c>
      <c r="D67" s="6">
        <f t="shared" si="0"/>
        <v>0.16400000000000001</v>
      </c>
      <c r="F67" s="46" t="s">
        <v>512</v>
      </c>
      <c r="G67" s="21">
        <f>SUM(G65:G66)</f>
        <v>9.9822695035460995</v>
      </c>
    </row>
    <row r="68" spans="1:19" x14ac:dyDescent="0.2">
      <c r="A68" s="1" t="s">
        <v>171</v>
      </c>
      <c r="B68" s="3">
        <v>166.24</v>
      </c>
      <c r="C68" s="5" t="s">
        <v>12</v>
      </c>
      <c r="D68" s="6">
        <f t="shared" ref="D68:D108" si="22">B68/1000</f>
        <v>0.16624</v>
      </c>
    </row>
    <row r="69" spans="1:19" x14ac:dyDescent="0.2">
      <c r="A69" s="1" t="s">
        <v>173</v>
      </c>
      <c r="B69" s="3">
        <v>168</v>
      </c>
      <c r="C69" s="5" t="s">
        <v>12</v>
      </c>
      <c r="D69" s="6">
        <f t="shared" si="22"/>
        <v>0.16800000000000001</v>
      </c>
      <c r="F69" s="185" t="s">
        <v>791</v>
      </c>
      <c r="G69" s="186"/>
    </row>
    <row r="70" spans="1:19" x14ac:dyDescent="0.2">
      <c r="A70" s="1" t="s">
        <v>174</v>
      </c>
      <c r="B70" s="3">
        <v>882</v>
      </c>
      <c r="C70" s="5" t="s">
        <v>12</v>
      </c>
      <c r="D70" s="6">
        <f t="shared" si="22"/>
        <v>0.88200000000000001</v>
      </c>
      <c r="F70" s="45" t="s">
        <v>415</v>
      </c>
      <c r="G70" s="43">
        <f>J42</f>
        <v>8.4345454545454537</v>
      </c>
    </row>
    <row r="71" spans="1:19" x14ac:dyDescent="0.2">
      <c r="A71" s="1" t="s">
        <v>176</v>
      </c>
      <c r="B71" s="3">
        <v>828</v>
      </c>
      <c r="C71" s="5" t="s">
        <v>12</v>
      </c>
      <c r="D71" s="6">
        <f t="shared" si="22"/>
        <v>0.82799999999999996</v>
      </c>
      <c r="F71" s="5" t="s">
        <v>496</v>
      </c>
      <c r="G71" s="1">
        <f>G60*I62</f>
        <v>6.1422413793103443</v>
      </c>
    </row>
    <row r="72" spans="1:19" x14ac:dyDescent="0.2">
      <c r="A72" s="1" t="s">
        <v>179</v>
      </c>
      <c r="B72" s="3">
        <v>128</v>
      </c>
      <c r="C72" s="5" t="s">
        <v>12</v>
      </c>
      <c r="D72" s="6">
        <f t="shared" si="22"/>
        <v>0.128</v>
      </c>
      <c r="F72" s="46" t="s">
        <v>512</v>
      </c>
      <c r="G72" s="21">
        <f>SUM(G70:G71)</f>
        <v>14.576786833855799</v>
      </c>
    </row>
    <row r="73" spans="1:19" x14ac:dyDescent="0.2">
      <c r="A73" s="1" t="s">
        <v>181</v>
      </c>
      <c r="B73" s="4">
        <v>205.33</v>
      </c>
      <c r="C73" s="5" t="s">
        <v>12</v>
      </c>
      <c r="D73" s="6">
        <f t="shared" si="22"/>
        <v>0.20533000000000001</v>
      </c>
    </row>
    <row r="74" spans="1:19" x14ac:dyDescent="0.2">
      <c r="A74" s="1" t="s">
        <v>62</v>
      </c>
      <c r="B74" s="3">
        <v>114.66</v>
      </c>
      <c r="C74" s="5" t="s">
        <v>12</v>
      </c>
      <c r="D74" s="6">
        <f t="shared" si="22"/>
        <v>0.11466</v>
      </c>
    </row>
    <row r="75" spans="1:19" x14ac:dyDescent="0.2">
      <c r="A75" s="1" t="s">
        <v>86</v>
      </c>
      <c r="B75" s="3">
        <v>126</v>
      </c>
      <c r="C75" s="5" t="s">
        <v>12</v>
      </c>
      <c r="D75" s="6">
        <f t="shared" si="22"/>
        <v>0.126</v>
      </c>
    </row>
    <row r="76" spans="1:19" x14ac:dyDescent="0.2">
      <c r="A76" s="1" t="s">
        <v>183</v>
      </c>
      <c r="B76" s="3">
        <v>167</v>
      </c>
      <c r="C76" s="5" t="s">
        <v>12</v>
      </c>
      <c r="D76" s="6">
        <f t="shared" si="22"/>
        <v>0.16700000000000001</v>
      </c>
    </row>
    <row r="77" spans="1:19" x14ac:dyDescent="0.2">
      <c r="A77" s="1" t="s">
        <v>184</v>
      </c>
      <c r="B77" s="3">
        <v>133.6</v>
      </c>
      <c r="C77" s="5" t="s">
        <v>12</v>
      </c>
      <c r="D77" s="6">
        <f t="shared" si="22"/>
        <v>0.1336</v>
      </c>
    </row>
    <row r="78" spans="1:19" x14ac:dyDescent="0.2">
      <c r="A78" s="1" t="s">
        <v>186</v>
      </c>
      <c r="B78" s="3">
        <v>113.6</v>
      </c>
      <c r="C78" s="5" t="s">
        <v>12</v>
      </c>
      <c r="D78" s="6">
        <f t="shared" si="22"/>
        <v>0.11359999999999999</v>
      </c>
    </row>
    <row r="79" spans="1:19" x14ac:dyDescent="0.2">
      <c r="A79" s="1" t="s">
        <v>51</v>
      </c>
      <c r="B79" s="4">
        <v>91</v>
      </c>
      <c r="C79" s="5" t="s">
        <v>12</v>
      </c>
      <c r="D79" s="6">
        <f t="shared" si="22"/>
        <v>9.0999999999999998E-2</v>
      </c>
    </row>
    <row r="80" spans="1:19" x14ac:dyDescent="0.2">
      <c r="A80" s="1" t="s">
        <v>56</v>
      </c>
      <c r="B80" s="4">
        <v>105.6</v>
      </c>
      <c r="C80" s="5" t="s">
        <v>12</v>
      </c>
      <c r="D80" s="6">
        <f t="shared" si="22"/>
        <v>0.1056</v>
      </c>
    </row>
    <row r="81" spans="1:4" x14ac:dyDescent="0.2">
      <c r="A81" s="1" t="s">
        <v>188</v>
      </c>
      <c r="B81" s="4">
        <v>133</v>
      </c>
      <c r="C81" s="5" t="s">
        <v>12</v>
      </c>
      <c r="D81" s="6">
        <f t="shared" si="22"/>
        <v>0.13300000000000001</v>
      </c>
    </row>
    <row r="82" spans="1:4" x14ac:dyDescent="0.2">
      <c r="A82" s="1" t="s">
        <v>189</v>
      </c>
      <c r="B82" s="4">
        <v>147.6</v>
      </c>
      <c r="C82" s="5" t="s">
        <v>12</v>
      </c>
      <c r="D82" s="6">
        <f t="shared" si="22"/>
        <v>0.14759999999999998</v>
      </c>
    </row>
    <row r="83" spans="1:4" x14ac:dyDescent="0.2">
      <c r="A83" s="1" t="s">
        <v>190</v>
      </c>
      <c r="B83" s="4">
        <v>90</v>
      </c>
      <c r="C83" s="5" t="s">
        <v>12</v>
      </c>
      <c r="D83" s="6">
        <f t="shared" si="22"/>
        <v>0.09</v>
      </c>
    </row>
    <row r="84" spans="1:4" x14ac:dyDescent="0.2">
      <c r="A84" s="1" t="s">
        <v>191</v>
      </c>
      <c r="B84" s="4">
        <v>96</v>
      </c>
      <c r="C84" s="5" t="s">
        <v>12</v>
      </c>
      <c r="D84" s="6">
        <f t="shared" si="22"/>
        <v>9.6000000000000002E-2</v>
      </c>
    </row>
    <row r="85" spans="1:4" x14ac:dyDescent="0.2">
      <c r="A85" s="1" t="s">
        <v>192</v>
      </c>
      <c r="B85" s="3">
        <v>126.4</v>
      </c>
      <c r="C85" s="5" t="s">
        <v>12</v>
      </c>
      <c r="D85" s="6">
        <f t="shared" si="22"/>
        <v>0.12640000000000001</v>
      </c>
    </row>
    <row r="86" spans="1:4" x14ac:dyDescent="0.2">
      <c r="A86" s="1" t="s">
        <v>193</v>
      </c>
      <c r="B86" s="3">
        <v>119</v>
      </c>
      <c r="C86" s="5" t="s">
        <v>12</v>
      </c>
      <c r="D86" s="6">
        <f t="shared" si="22"/>
        <v>0.11899999999999999</v>
      </c>
    </row>
    <row r="87" spans="1:4" x14ac:dyDescent="0.2">
      <c r="A87" s="1" t="s">
        <v>194</v>
      </c>
      <c r="B87" s="3">
        <v>88</v>
      </c>
      <c r="C87" s="5" t="s">
        <v>12</v>
      </c>
      <c r="D87" s="6">
        <f t="shared" si="22"/>
        <v>8.7999999999999995E-2</v>
      </c>
    </row>
    <row r="88" spans="1:4" x14ac:dyDescent="0.2">
      <c r="A88" s="1" t="s">
        <v>195</v>
      </c>
      <c r="B88" s="3">
        <v>73</v>
      </c>
      <c r="C88" s="5" t="s">
        <v>12</v>
      </c>
      <c r="D88" s="6">
        <f t="shared" si="22"/>
        <v>7.2999999999999995E-2</v>
      </c>
    </row>
    <row r="89" spans="1:4" x14ac:dyDescent="0.2">
      <c r="A89" s="1" t="s">
        <v>92</v>
      </c>
      <c r="B89" s="3">
        <v>138</v>
      </c>
      <c r="C89" s="5" t="s">
        <v>12</v>
      </c>
      <c r="D89" s="6">
        <f t="shared" si="22"/>
        <v>0.13800000000000001</v>
      </c>
    </row>
    <row r="90" spans="1:4" x14ac:dyDescent="0.2">
      <c r="A90" s="1" t="s">
        <v>196</v>
      </c>
      <c r="B90" s="3">
        <v>77</v>
      </c>
      <c r="C90" s="5" t="s">
        <v>12</v>
      </c>
      <c r="D90" s="6">
        <f t="shared" si="22"/>
        <v>7.6999999999999999E-2</v>
      </c>
    </row>
    <row r="91" spans="1:4" x14ac:dyDescent="0.2">
      <c r="A91" s="1" t="s">
        <v>197</v>
      </c>
      <c r="B91" s="3">
        <v>109.2</v>
      </c>
      <c r="C91" s="5" t="s">
        <v>12</v>
      </c>
      <c r="D91" s="6">
        <f t="shared" si="22"/>
        <v>0.10920000000000001</v>
      </c>
    </row>
    <row r="92" spans="1:4" x14ac:dyDescent="0.2">
      <c r="A92" s="1" t="s">
        <v>198</v>
      </c>
      <c r="B92" s="3">
        <v>95</v>
      </c>
      <c r="C92" s="5" t="s">
        <v>12</v>
      </c>
      <c r="D92" s="6">
        <f t="shared" si="22"/>
        <v>9.5000000000000001E-2</v>
      </c>
    </row>
    <row r="93" spans="1:4" x14ac:dyDescent="0.2">
      <c r="A93" s="1" t="s">
        <v>84</v>
      </c>
      <c r="B93" s="3">
        <v>173</v>
      </c>
      <c r="C93" s="5" t="s">
        <v>12</v>
      </c>
      <c r="D93" s="6">
        <f t="shared" si="22"/>
        <v>0.17299999999999999</v>
      </c>
    </row>
    <row r="94" spans="1:4" x14ac:dyDescent="0.2">
      <c r="A94" s="1" t="s">
        <v>199</v>
      </c>
      <c r="B94" s="3">
        <v>198</v>
      </c>
      <c r="C94" s="5" t="s">
        <v>12</v>
      </c>
      <c r="D94" s="6">
        <f t="shared" si="22"/>
        <v>0.19800000000000001</v>
      </c>
    </row>
    <row r="95" spans="1:4" x14ac:dyDescent="0.2">
      <c r="A95" s="13" t="s">
        <v>87</v>
      </c>
      <c r="B95" s="3">
        <v>249</v>
      </c>
      <c r="C95" s="5" t="s">
        <v>12</v>
      </c>
      <c r="D95" s="6">
        <f t="shared" si="22"/>
        <v>0.249</v>
      </c>
    </row>
    <row r="96" spans="1:4" x14ac:dyDescent="0.2">
      <c r="A96" s="1" t="s">
        <v>59</v>
      </c>
      <c r="B96" s="3">
        <v>43.17</v>
      </c>
      <c r="C96" s="5" t="s">
        <v>12</v>
      </c>
      <c r="D96" s="6">
        <f t="shared" si="22"/>
        <v>4.317E-2</v>
      </c>
    </row>
    <row r="97" spans="1:4" x14ac:dyDescent="0.2">
      <c r="A97" s="1" t="s">
        <v>25</v>
      </c>
      <c r="B97" s="3">
        <v>18.84</v>
      </c>
      <c r="C97" s="5" t="s">
        <v>12</v>
      </c>
      <c r="D97" s="6">
        <f t="shared" si="22"/>
        <v>1.8839999999999999E-2</v>
      </c>
    </row>
    <row r="98" spans="1:4" x14ac:dyDescent="0.2">
      <c r="A98" s="1" t="s">
        <v>39</v>
      </c>
      <c r="B98" s="3">
        <v>56.15</v>
      </c>
      <c r="C98" s="5" t="s">
        <v>12</v>
      </c>
      <c r="D98" s="6">
        <f t="shared" si="22"/>
        <v>5.6149999999999999E-2</v>
      </c>
    </row>
    <row r="99" spans="1:4" x14ac:dyDescent="0.2">
      <c r="A99" s="1" t="s">
        <v>24</v>
      </c>
      <c r="B99" s="3">
        <v>76.06</v>
      </c>
      <c r="C99" s="5" t="s">
        <v>12</v>
      </c>
      <c r="D99" s="6">
        <f t="shared" si="22"/>
        <v>7.6060000000000003E-2</v>
      </c>
    </row>
    <row r="100" spans="1:4" x14ac:dyDescent="0.2">
      <c r="A100" s="1" t="s">
        <v>200</v>
      </c>
      <c r="B100" s="3">
        <v>43.5</v>
      </c>
      <c r="C100" s="5" t="s">
        <v>12</v>
      </c>
      <c r="D100" s="6">
        <f t="shared" si="22"/>
        <v>4.3499999999999997E-2</v>
      </c>
    </row>
    <row r="101" spans="1:4" x14ac:dyDescent="0.2">
      <c r="A101" s="1" t="s">
        <v>201</v>
      </c>
      <c r="B101" s="3">
        <v>123.7</v>
      </c>
      <c r="C101" s="5" t="s">
        <v>12</v>
      </c>
      <c r="D101" s="6">
        <f t="shared" si="22"/>
        <v>0.1237</v>
      </c>
    </row>
    <row r="102" spans="1:4" x14ac:dyDescent="0.2">
      <c r="A102" s="1" t="s">
        <v>28</v>
      </c>
      <c r="B102" s="3">
        <v>71</v>
      </c>
      <c r="C102" s="5" t="s">
        <v>12</v>
      </c>
      <c r="D102" s="6">
        <f t="shared" si="22"/>
        <v>7.0999999999999994E-2</v>
      </c>
    </row>
    <row r="103" spans="1:4" x14ac:dyDescent="0.2">
      <c r="A103" s="8" t="s">
        <v>68</v>
      </c>
      <c r="B103" s="14">
        <v>45</v>
      </c>
      <c r="C103" s="15" t="s">
        <v>12</v>
      </c>
      <c r="D103" s="16">
        <f t="shared" si="22"/>
        <v>4.4999999999999998E-2</v>
      </c>
    </row>
    <row r="104" spans="1:4" x14ac:dyDescent="0.2">
      <c r="A104" s="8" t="s">
        <v>34</v>
      </c>
      <c r="B104" s="14">
        <v>188</v>
      </c>
      <c r="C104" s="8" t="s">
        <v>12</v>
      </c>
      <c r="D104" s="14">
        <f t="shared" si="22"/>
        <v>0.188</v>
      </c>
    </row>
    <row r="105" spans="1:4" x14ac:dyDescent="0.2">
      <c r="A105" s="8" t="s">
        <v>202</v>
      </c>
      <c r="B105" s="8">
        <v>139.30000000000001</v>
      </c>
      <c r="C105" s="8" t="s">
        <v>12</v>
      </c>
      <c r="D105" s="14">
        <f t="shared" si="22"/>
        <v>0.13930000000000001</v>
      </c>
    </row>
    <row r="106" spans="1:4" x14ac:dyDescent="0.2">
      <c r="A106" s="8" t="s">
        <v>23</v>
      </c>
      <c r="B106" s="8">
        <v>0</v>
      </c>
      <c r="C106" s="8" t="s">
        <v>12</v>
      </c>
      <c r="D106" s="8">
        <f>B106/1000</f>
        <v>0</v>
      </c>
    </row>
    <row r="107" spans="1:4" x14ac:dyDescent="0.2">
      <c r="A107" s="1" t="s">
        <v>87</v>
      </c>
      <c r="B107" s="1">
        <v>249</v>
      </c>
      <c r="C107" s="1" t="s">
        <v>12</v>
      </c>
      <c r="D107" s="1">
        <f>B107/1000</f>
        <v>0.249</v>
      </c>
    </row>
    <row r="108" spans="1:4" x14ac:dyDescent="0.2">
      <c r="A108" s="1" t="s">
        <v>132</v>
      </c>
      <c r="B108" s="1"/>
      <c r="C108" s="1"/>
      <c r="D108" s="1">
        <f t="shared" ref="D108:D112" si="23">B108/1000</f>
        <v>0</v>
      </c>
    </row>
    <row r="109" spans="1:4" x14ac:dyDescent="0.2">
      <c r="A109" s="1" t="s">
        <v>53</v>
      </c>
      <c r="B109" s="1">
        <v>512</v>
      </c>
      <c r="C109" s="1" t="s">
        <v>12</v>
      </c>
      <c r="D109" s="1">
        <f t="shared" si="23"/>
        <v>0.51200000000000001</v>
      </c>
    </row>
    <row r="110" spans="1:4" x14ac:dyDescent="0.2">
      <c r="A110" s="8" t="s">
        <v>32</v>
      </c>
      <c r="B110" s="8">
        <v>612</v>
      </c>
      <c r="C110" s="8" t="s">
        <v>12</v>
      </c>
      <c r="D110" s="8">
        <f t="shared" si="23"/>
        <v>0.61199999999999999</v>
      </c>
    </row>
    <row r="111" spans="1:4" x14ac:dyDescent="0.2">
      <c r="A111" s="1" t="s">
        <v>203</v>
      </c>
      <c r="B111" s="1">
        <v>612</v>
      </c>
      <c r="C111" s="1" t="s">
        <v>12</v>
      </c>
      <c r="D111" s="1">
        <f t="shared" si="23"/>
        <v>0.61199999999999999</v>
      </c>
    </row>
    <row r="112" spans="1:4" x14ac:dyDescent="0.2">
      <c r="A112" s="8" t="s">
        <v>37</v>
      </c>
      <c r="B112" s="8">
        <v>20.149999999999999</v>
      </c>
      <c r="C112" s="8" t="s">
        <v>61</v>
      </c>
      <c r="D112" s="8">
        <f t="shared" si="23"/>
        <v>2.0149999999999998E-2</v>
      </c>
    </row>
    <row r="113" spans="1:4" x14ac:dyDescent="0.2">
      <c r="A113" s="8" t="s">
        <v>72</v>
      </c>
      <c r="B113" s="8">
        <v>14.6</v>
      </c>
      <c r="C113" s="8" t="s">
        <v>73</v>
      </c>
      <c r="D113" s="8">
        <f>B113*1</f>
        <v>14.6</v>
      </c>
    </row>
    <row r="114" spans="1:4" x14ac:dyDescent="0.2">
      <c r="A114" s="1" t="s">
        <v>389</v>
      </c>
      <c r="B114" s="1">
        <v>7</v>
      </c>
      <c r="C114" s="1" t="s">
        <v>12</v>
      </c>
      <c r="D114" s="1">
        <f>B114/1000</f>
        <v>7.0000000000000001E-3</v>
      </c>
    </row>
  </sheetData>
  <mergeCells count="71">
    <mergeCell ref="X42:Y42"/>
    <mergeCell ref="F64:G64"/>
    <mergeCell ref="F69:G69"/>
    <mergeCell ref="L53:M53"/>
    <mergeCell ref="R57:S57"/>
    <mergeCell ref="R62:S62"/>
    <mergeCell ref="R25:V25"/>
    <mergeCell ref="R34:V34"/>
    <mergeCell ref="R40:V40"/>
    <mergeCell ref="X1:AB1"/>
    <mergeCell ref="X3:AB3"/>
    <mergeCell ref="X19:AB19"/>
    <mergeCell ref="X28:AB28"/>
    <mergeCell ref="R1:V1"/>
    <mergeCell ref="R3:V3"/>
    <mergeCell ref="R17:V17"/>
    <mergeCell ref="X33:AB33"/>
    <mergeCell ref="AA34:AB34"/>
    <mergeCell ref="AA35:AB35"/>
    <mergeCell ref="AA36:AB36"/>
    <mergeCell ref="AA37:AB37"/>
    <mergeCell ref="AA38:AB38"/>
    <mergeCell ref="L25:P25"/>
    <mergeCell ref="L35:P35"/>
    <mergeCell ref="F37:J37"/>
    <mergeCell ref="F1:J1"/>
    <mergeCell ref="F3:J3"/>
    <mergeCell ref="F19:J19"/>
    <mergeCell ref="F26:J26"/>
    <mergeCell ref="F32:J32"/>
    <mergeCell ref="L1:P1"/>
    <mergeCell ref="L3:P3"/>
    <mergeCell ref="L19:P19"/>
    <mergeCell ref="R46:V46"/>
    <mergeCell ref="U47:V47"/>
    <mergeCell ref="U48:V48"/>
    <mergeCell ref="U49:V49"/>
    <mergeCell ref="U50:V50"/>
    <mergeCell ref="U51:V51"/>
    <mergeCell ref="U52:V52"/>
    <mergeCell ref="U53:V53"/>
    <mergeCell ref="U54:V54"/>
    <mergeCell ref="U55:V55"/>
    <mergeCell ref="I50:J50"/>
    <mergeCell ref="I51:J51"/>
    <mergeCell ref="F44:J44"/>
    <mergeCell ref="I45:J45"/>
    <mergeCell ref="I46:J46"/>
    <mergeCell ref="I47:J47"/>
    <mergeCell ref="I48:J48"/>
    <mergeCell ref="AA39:AB39"/>
    <mergeCell ref="AA40:AB40"/>
    <mergeCell ref="F53:J53"/>
    <mergeCell ref="O45:P45"/>
    <mergeCell ref="O46:P46"/>
    <mergeCell ref="O47:P47"/>
    <mergeCell ref="O48:P48"/>
    <mergeCell ref="O49:P49"/>
    <mergeCell ref="L40:P40"/>
    <mergeCell ref="O41:P41"/>
    <mergeCell ref="O42:P42"/>
    <mergeCell ref="O43:P43"/>
    <mergeCell ref="O44:P44"/>
    <mergeCell ref="I49:J49"/>
    <mergeCell ref="I59:J59"/>
    <mergeCell ref="I60:J60"/>
    <mergeCell ref="I54:J54"/>
    <mergeCell ref="I55:J55"/>
    <mergeCell ref="I56:J56"/>
    <mergeCell ref="I57:J57"/>
    <mergeCell ref="I58:J5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DB05-60F0-8749-A6FB-987009F88A14}">
  <dimension ref="A1:AZ114"/>
  <sheetViews>
    <sheetView topLeftCell="A39" zoomScaleNormal="150" zoomScaleSheetLayoutView="100" workbookViewId="0">
      <selection activeCell="AV63" sqref="AV63"/>
    </sheetView>
  </sheetViews>
  <sheetFormatPr defaultRowHeight="15" x14ac:dyDescent="0.2"/>
  <cols>
    <col min="1" max="1" width="26.90234375" customWidth="1"/>
    <col min="3" max="3" width="5.37890625" customWidth="1"/>
    <col min="6" max="6" width="22.05859375" customWidth="1"/>
    <col min="7" max="7" width="9.81640625" bestFit="1" customWidth="1"/>
    <col min="8" max="8" width="4.03515625" customWidth="1"/>
    <col min="10" max="10" width="8.875" bestFit="1" customWidth="1"/>
    <col min="12" max="12" width="19.63671875" customWidth="1"/>
    <col min="13" max="13" width="9.81640625" bestFit="1" customWidth="1"/>
    <col min="14" max="14" width="4.4375" customWidth="1"/>
    <col min="16" max="16" width="8.875" bestFit="1" customWidth="1"/>
    <col min="18" max="18" width="20.984375" customWidth="1"/>
    <col min="19" max="19" width="9.81640625" bestFit="1" customWidth="1"/>
    <col min="20" max="20" width="3.62890625" customWidth="1"/>
    <col min="24" max="24" width="22.734375" customWidth="1"/>
    <col min="25" max="25" width="9.81640625" bestFit="1" customWidth="1"/>
    <col min="26" max="26" width="3.2265625" customWidth="1"/>
    <col min="30" max="30" width="19.37109375" customWidth="1"/>
    <col min="31" max="31" width="9.81640625" bestFit="1" customWidth="1"/>
    <col min="32" max="32" width="3.62890625" customWidth="1"/>
    <col min="34" max="34" width="8.7421875" bestFit="1" customWidth="1"/>
    <col min="36" max="36" width="22.59765625" customWidth="1"/>
    <col min="37" max="37" width="9.81640625" bestFit="1" customWidth="1"/>
    <col min="38" max="38" width="4.4375" customWidth="1"/>
    <col min="42" max="42" width="26.23046875" customWidth="1"/>
    <col min="43" max="43" width="9.81640625" bestFit="1" customWidth="1"/>
    <col min="48" max="48" width="26.36328125" customWidth="1"/>
    <col min="49" max="49" width="9.81640625" bestFit="1" customWidth="1"/>
    <col min="50" max="50" width="4.03515625" customWidth="1"/>
  </cols>
  <sheetData>
    <row r="1" spans="1:52" ht="27.75" x14ac:dyDescent="0.2">
      <c r="A1" s="9" t="s">
        <v>0</v>
      </c>
      <c r="B1" s="10" t="s">
        <v>1</v>
      </c>
      <c r="C1" s="11" t="s">
        <v>2</v>
      </c>
      <c r="D1" s="12" t="s">
        <v>3</v>
      </c>
      <c r="F1" s="95" t="s">
        <v>437</v>
      </c>
      <c r="G1" s="96"/>
      <c r="H1" s="96"/>
      <c r="I1" s="96"/>
      <c r="J1" s="97"/>
      <c r="L1" s="156" t="s">
        <v>438</v>
      </c>
      <c r="M1" s="157"/>
      <c r="N1" s="157"/>
      <c r="O1" s="157"/>
      <c r="P1" s="158"/>
      <c r="R1" s="147" t="s">
        <v>443</v>
      </c>
      <c r="S1" s="148"/>
      <c r="T1" s="148"/>
      <c r="U1" s="148"/>
      <c r="V1" s="149"/>
      <c r="X1" s="153" t="s">
        <v>446</v>
      </c>
      <c r="Y1" s="154"/>
      <c r="Z1" s="154"/>
      <c r="AA1" s="154"/>
      <c r="AB1" s="155"/>
      <c r="AD1" s="150" t="s">
        <v>452</v>
      </c>
      <c r="AE1" s="151"/>
      <c r="AF1" s="151"/>
      <c r="AG1" s="151"/>
      <c r="AH1" s="152"/>
      <c r="AJ1" s="95" t="s">
        <v>459</v>
      </c>
      <c r="AK1" s="96"/>
      <c r="AL1" s="96"/>
      <c r="AM1" s="96"/>
      <c r="AN1" s="97"/>
      <c r="AP1" s="156" t="s">
        <v>463</v>
      </c>
      <c r="AQ1" s="157"/>
      <c r="AR1" s="157"/>
      <c r="AS1" s="157"/>
      <c r="AT1" s="158"/>
      <c r="AV1" s="87" t="s">
        <v>473</v>
      </c>
      <c r="AW1" s="87"/>
      <c r="AX1" s="87"/>
      <c r="AY1" s="87"/>
      <c r="AZ1" s="87"/>
    </row>
    <row r="2" spans="1:52" x14ac:dyDescent="0.2">
      <c r="A2" s="1" t="s">
        <v>11</v>
      </c>
      <c r="B2" s="3">
        <v>69.03</v>
      </c>
      <c r="C2" s="5" t="s">
        <v>12</v>
      </c>
      <c r="D2" s="6">
        <f>B2/1000</f>
        <v>6.9030000000000008E-2</v>
      </c>
      <c r="F2" s="22"/>
      <c r="G2" s="23"/>
      <c r="H2" s="23"/>
      <c r="I2" s="23"/>
      <c r="J2" s="24"/>
      <c r="L2" s="22"/>
      <c r="M2" s="23"/>
      <c r="N2" s="23"/>
      <c r="O2" s="23"/>
      <c r="P2" s="24"/>
      <c r="R2" s="22"/>
      <c r="S2" s="23"/>
      <c r="T2" s="23"/>
      <c r="U2" s="23"/>
      <c r="V2" s="24"/>
      <c r="X2" s="22"/>
      <c r="Y2" s="23"/>
      <c r="Z2" s="23"/>
      <c r="AA2" s="23"/>
      <c r="AB2" s="24"/>
      <c r="AD2" s="22"/>
      <c r="AE2" s="23"/>
      <c r="AF2" s="23"/>
      <c r="AG2" s="23"/>
      <c r="AH2" s="24"/>
      <c r="AJ2" s="22"/>
      <c r="AK2" s="23"/>
      <c r="AL2" s="23"/>
      <c r="AM2" s="23"/>
      <c r="AN2" s="24"/>
      <c r="AP2" s="22"/>
      <c r="AQ2" s="23"/>
      <c r="AR2" s="23"/>
      <c r="AS2" s="23"/>
      <c r="AT2" s="24"/>
    </row>
    <row r="3" spans="1:52" x14ac:dyDescent="0.2">
      <c r="A3" s="1" t="s">
        <v>13</v>
      </c>
      <c r="B3" s="3">
        <v>129.1</v>
      </c>
      <c r="C3" s="5" t="s">
        <v>12</v>
      </c>
      <c r="D3" s="6">
        <f t="shared" ref="D3:D66" si="0">B3/1000</f>
        <v>0.12909999999999999</v>
      </c>
      <c r="F3" s="92" t="s">
        <v>428</v>
      </c>
      <c r="G3" s="93"/>
      <c r="H3" s="93"/>
      <c r="I3" s="93"/>
      <c r="J3" s="94"/>
      <c r="L3" s="89" t="s">
        <v>439</v>
      </c>
      <c r="M3" s="90"/>
      <c r="N3" s="90"/>
      <c r="O3" s="90"/>
      <c r="P3" s="91"/>
      <c r="R3" s="82" t="s">
        <v>439</v>
      </c>
      <c r="S3" s="83"/>
      <c r="T3" s="83"/>
      <c r="U3" s="83"/>
      <c r="V3" s="84"/>
      <c r="X3" s="75" t="s">
        <v>447</v>
      </c>
      <c r="Y3" s="76"/>
      <c r="Z3" s="76"/>
      <c r="AA3" s="76"/>
      <c r="AB3" s="77"/>
      <c r="AD3" s="79" t="s">
        <v>439</v>
      </c>
      <c r="AE3" s="80"/>
      <c r="AF3" s="80"/>
      <c r="AG3" s="80"/>
      <c r="AH3" s="81"/>
      <c r="AJ3" s="92" t="s">
        <v>439</v>
      </c>
      <c r="AK3" s="93"/>
      <c r="AL3" s="93"/>
      <c r="AM3" s="93"/>
      <c r="AN3" s="94"/>
      <c r="AP3" s="89" t="s">
        <v>439</v>
      </c>
      <c r="AQ3" s="90"/>
      <c r="AR3" s="90"/>
      <c r="AS3" s="90"/>
      <c r="AT3" s="91"/>
      <c r="AV3" s="82" t="s">
        <v>58</v>
      </c>
      <c r="AW3" s="83"/>
      <c r="AX3" s="83"/>
      <c r="AY3" s="83"/>
      <c r="AZ3" s="84"/>
    </row>
    <row r="4" spans="1:52" x14ac:dyDescent="0.2">
      <c r="A4" s="1" t="s">
        <v>21</v>
      </c>
      <c r="B4" s="3">
        <v>11.59</v>
      </c>
      <c r="C4" s="5" t="s">
        <v>12</v>
      </c>
      <c r="D4" s="6">
        <f t="shared" si="0"/>
        <v>1.159E-2</v>
      </c>
      <c r="F4" s="1" t="s">
        <v>28</v>
      </c>
      <c r="G4" s="1">
        <v>2053</v>
      </c>
      <c r="H4" s="1" t="s">
        <v>22</v>
      </c>
      <c r="I4" s="1">
        <f>_xlfn.XLOOKUP(F4,$A$2:$A$112,$D$2:$D$112)</f>
        <v>7.0999999999999994E-2</v>
      </c>
      <c r="J4" s="17">
        <f>G4*I4</f>
        <v>145.76299999999998</v>
      </c>
      <c r="L4" s="1" t="s">
        <v>34</v>
      </c>
      <c r="M4" s="1">
        <v>1519</v>
      </c>
      <c r="N4" s="1" t="s">
        <v>22</v>
      </c>
      <c r="O4" s="1">
        <f>_xlfn.XLOOKUP(L4,$A$2:$A$112,$D$2:$D$112)</f>
        <v>0.188</v>
      </c>
      <c r="P4" s="17">
        <f>M4*O4</f>
        <v>285.572</v>
      </c>
      <c r="R4" s="1" t="s">
        <v>34</v>
      </c>
      <c r="S4" s="1">
        <v>1519</v>
      </c>
      <c r="T4" s="1" t="s">
        <v>22</v>
      </c>
      <c r="U4" s="1">
        <f>_xlfn.XLOOKUP(R4,$A$2:$A$112,$D$2:$D$112)</f>
        <v>0.188</v>
      </c>
      <c r="V4" s="17">
        <f>S4*U4</f>
        <v>285.572</v>
      </c>
      <c r="X4" s="1" t="s">
        <v>64</v>
      </c>
      <c r="Y4" s="1">
        <v>200</v>
      </c>
      <c r="Z4" s="1" t="s">
        <v>22</v>
      </c>
      <c r="AA4" s="1">
        <f>_xlfn.XLOOKUP(X4,$A$2:$A$112,$D$2:$D$112)</f>
        <v>3.7899999999999996E-2</v>
      </c>
      <c r="AB4" s="17">
        <f>Y4*AA4</f>
        <v>7.5799999999999992</v>
      </c>
      <c r="AD4" s="1" t="s">
        <v>34</v>
      </c>
      <c r="AE4" s="1">
        <v>1519</v>
      </c>
      <c r="AF4" s="1" t="s">
        <v>22</v>
      </c>
      <c r="AG4" s="1">
        <f>_xlfn.XLOOKUP(AD4,$A$2:$A$112,$D$2:$D$112)</f>
        <v>0.188</v>
      </c>
      <c r="AH4" s="17">
        <f>AE4*AG4</f>
        <v>285.572</v>
      </c>
      <c r="AJ4" s="1" t="s">
        <v>34</v>
      </c>
      <c r="AK4" s="1">
        <v>1519</v>
      </c>
      <c r="AL4" s="1" t="s">
        <v>22</v>
      </c>
      <c r="AM4" s="1">
        <f>_xlfn.XLOOKUP(AJ4,$A$2:$A$112,$D$2:$D$112)</f>
        <v>0.188</v>
      </c>
      <c r="AN4" s="17">
        <f>AK4*AM4</f>
        <v>285.572</v>
      </c>
      <c r="AP4" s="1" t="s">
        <v>34</v>
      </c>
      <c r="AQ4" s="1">
        <v>1519</v>
      </c>
      <c r="AR4" s="1" t="s">
        <v>22</v>
      </c>
      <c r="AS4" s="1">
        <f>_xlfn.XLOOKUP(AP4,$A$2:$A$112,$D$2:$D$112)</f>
        <v>0.188</v>
      </c>
      <c r="AT4" s="17">
        <f>AQ4*AS4</f>
        <v>285.572</v>
      </c>
      <c r="AV4" s="1" t="s">
        <v>25</v>
      </c>
      <c r="AW4" s="1">
        <v>1000</v>
      </c>
      <c r="AX4" s="1" t="s">
        <v>22</v>
      </c>
      <c r="AY4" s="1">
        <f>_xlfn.XLOOKUP(AV4,$A$2:$A$114,$D$2:$D$114)</f>
        <v>1.8839999999999999E-2</v>
      </c>
      <c r="AZ4" s="17">
        <f>AW4*AY4</f>
        <v>18.84</v>
      </c>
    </row>
    <row r="5" spans="1:52" x14ac:dyDescent="0.2">
      <c r="A5" s="1" t="s">
        <v>26</v>
      </c>
      <c r="B5" s="3">
        <v>13.15</v>
      </c>
      <c r="C5" s="5" t="s">
        <v>12</v>
      </c>
      <c r="D5" s="6">
        <f t="shared" si="0"/>
        <v>1.315E-2</v>
      </c>
      <c r="F5" s="1" t="s">
        <v>26</v>
      </c>
      <c r="G5" s="1">
        <v>1825</v>
      </c>
      <c r="H5" s="1" t="s">
        <v>22</v>
      </c>
      <c r="I5" s="1">
        <f t="shared" ref="I5:I11" si="1">_xlfn.XLOOKUP(F5,$A$2:$A$112,$D$2:$D$112)</f>
        <v>1.315E-2</v>
      </c>
      <c r="J5" s="17">
        <f t="shared" ref="J5:J11" si="2">G5*I5</f>
        <v>23.998750000000001</v>
      </c>
      <c r="L5" s="1" t="s">
        <v>28</v>
      </c>
      <c r="M5" s="1">
        <v>2309</v>
      </c>
      <c r="N5" s="1" t="s">
        <v>22</v>
      </c>
      <c r="O5" s="1">
        <f t="shared" ref="O5:O9" si="3">_xlfn.XLOOKUP(L5,$A$2:$A$112,$D$2:$D$112)</f>
        <v>7.0999999999999994E-2</v>
      </c>
      <c r="P5" s="17">
        <f t="shared" ref="P5:P9" si="4">M5*O5</f>
        <v>163.93899999999999</v>
      </c>
      <c r="R5" s="1" t="s">
        <v>28</v>
      </c>
      <c r="S5" s="1">
        <v>2309</v>
      </c>
      <c r="T5" s="1" t="s">
        <v>22</v>
      </c>
      <c r="U5" s="1">
        <f t="shared" ref="U5:U9" si="5">_xlfn.XLOOKUP(R5,$A$2:$A$112,$D$2:$D$112)</f>
        <v>7.0999999999999994E-2</v>
      </c>
      <c r="V5" s="17">
        <f t="shared" ref="V5:V9" si="6">S5*U5</f>
        <v>163.93899999999999</v>
      </c>
      <c r="X5" s="1" t="s">
        <v>23</v>
      </c>
      <c r="Y5" s="1">
        <v>400</v>
      </c>
      <c r="Z5" s="1" t="s">
        <v>22</v>
      </c>
      <c r="AA5" s="1">
        <f t="shared" ref="AA5:AA10" si="7">_xlfn.XLOOKUP(X5,$A$2:$A$112,$D$2:$D$112)</f>
        <v>0</v>
      </c>
      <c r="AB5" s="17">
        <f t="shared" ref="AB5:AB10" si="8">Y5*AA5</f>
        <v>0</v>
      </c>
      <c r="AD5" s="1" t="s">
        <v>28</v>
      </c>
      <c r="AE5" s="1">
        <v>2309</v>
      </c>
      <c r="AF5" s="1" t="s">
        <v>22</v>
      </c>
      <c r="AG5" s="1">
        <f t="shared" ref="AG5:AG9" si="9">_xlfn.XLOOKUP(AD5,$A$2:$A$112,$D$2:$D$112)</f>
        <v>7.0999999999999994E-2</v>
      </c>
      <c r="AH5" s="17">
        <f t="shared" ref="AH5:AH9" si="10">AE5*AG5</f>
        <v>163.93899999999999</v>
      </c>
      <c r="AJ5" s="1" t="s">
        <v>28</v>
      </c>
      <c r="AK5" s="1">
        <v>2309</v>
      </c>
      <c r="AL5" s="1" t="s">
        <v>22</v>
      </c>
      <c r="AM5" s="1">
        <f t="shared" ref="AM5:AM9" si="11">_xlfn.XLOOKUP(AJ5,$A$2:$A$112,$D$2:$D$112)</f>
        <v>7.0999999999999994E-2</v>
      </c>
      <c r="AN5" s="17">
        <f t="shared" ref="AN5:AN9" si="12">AK5*AM5</f>
        <v>163.93899999999999</v>
      </c>
      <c r="AP5" s="1" t="s">
        <v>28</v>
      </c>
      <c r="AQ5" s="1">
        <v>2309</v>
      </c>
      <c r="AR5" s="1" t="s">
        <v>22</v>
      </c>
      <c r="AS5" s="1">
        <f t="shared" ref="AS5:AS9" si="13">_xlfn.XLOOKUP(AP5,$A$2:$A$112,$D$2:$D$112)</f>
        <v>7.0999999999999994E-2</v>
      </c>
      <c r="AT5" s="17">
        <f t="shared" ref="AT5:AT9" si="14">AQ5*AS5</f>
        <v>163.93899999999999</v>
      </c>
      <c r="AV5" s="1" t="s">
        <v>39</v>
      </c>
      <c r="AW5" s="1">
        <v>1000</v>
      </c>
      <c r="AX5" s="1" t="s">
        <v>22</v>
      </c>
      <c r="AY5" s="1">
        <f t="shared" ref="AY5:AY9" si="15">_xlfn.XLOOKUP(AV5,$A$2:$A$114,$D$2:$D$114)</f>
        <v>5.6149999999999999E-2</v>
      </c>
      <c r="AZ5" s="17">
        <f t="shared" ref="AZ5:AZ9" si="16">AW5*AY5</f>
        <v>56.15</v>
      </c>
    </row>
    <row r="6" spans="1:52" x14ac:dyDescent="0.2">
      <c r="A6" s="1" t="s">
        <v>31</v>
      </c>
      <c r="B6" s="3">
        <v>24.55</v>
      </c>
      <c r="C6" s="5" t="s">
        <v>12</v>
      </c>
      <c r="D6" s="6">
        <f t="shared" si="0"/>
        <v>2.4550000000000002E-2</v>
      </c>
      <c r="F6" s="1" t="s">
        <v>64</v>
      </c>
      <c r="G6" s="1">
        <v>760</v>
      </c>
      <c r="H6" s="1" t="s">
        <v>22</v>
      </c>
      <c r="I6" s="1">
        <f t="shared" si="1"/>
        <v>3.7899999999999996E-2</v>
      </c>
      <c r="J6" s="17">
        <f t="shared" si="2"/>
        <v>28.803999999999998</v>
      </c>
      <c r="L6" s="1" t="s">
        <v>26</v>
      </c>
      <c r="M6" s="1">
        <v>2835</v>
      </c>
      <c r="N6" s="1" t="s">
        <v>22</v>
      </c>
      <c r="O6" s="1">
        <f t="shared" si="3"/>
        <v>1.315E-2</v>
      </c>
      <c r="P6" s="17">
        <f t="shared" si="4"/>
        <v>37.280250000000002</v>
      </c>
      <c r="R6" s="1" t="s">
        <v>26</v>
      </c>
      <c r="S6" s="1">
        <v>2835</v>
      </c>
      <c r="T6" s="1" t="s">
        <v>22</v>
      </c>
      <c r="U6" s="1">
        <f t="shared" si="5"/>
        <v>1.315E-2</v>
      </c>
      <c r="V6" s="17">
        <f t="shared" si="6"/>
        <v>37.280250000000002</v>
      </c>
      <c r="X6" s="1" t="s">
        <v>37</v>
      </c>
      <c r="Y6" s="1">
        <v>50</v>
      </c>
      <c r="Z6" s="1" t="s">
        <v>22</v>
      </c>
      <c r="AA6" s="1">
        <f t="shared" si="7"/>
        <v>2.0149999999999998E-2</v>
      </c>
      <c r="AB6" s="17">
        <f t="shared" si="8"/>
        <v>1.0074999999999998</v>
      </c>
      <c r="AD6" s="1" t="s">
        <v>26</v>
      </c>
      <c r="AE6" s="1">
        <v>2835</v>
      </c>
      <c r="AF6" s="1" t="s">
        <v>22</v>
      </c>
      <c r="AG6" s="1">
        <f t="shared" si="9"/>
        <v>1.315E-2</v>
      </c>
      <c r="AH6" s="17">
        <f t="shared" si="10"/>
        <v>37.280250000000002</v>
      </c>
      <c r="AJ6" s="1" t="s">
        <v>26</v>
      </c>
      <c r="AK6" s="1">
        <v>2835</v>
      </c>
      <c r="AL6" s="1" t="s">
        <v>22</v>
      </c>
      <c r="AM6" s="1">
        <f t="shared" si="11"/>
        <v>1.315E-2</v>
      </c>
      <c r="AN6" s="17">
        <f t="shared" si="12"/>
        <v>37.280250000000002</v>
      </c>
      <c r="AP6" s="1" t="s">
        <v>26</v>
      </c>
      <c r="AQ6" s="1">
        <v>2835</v>
      </c>
      <c r="AR6" s="1" t="s">
        <v>22</v>
      </c>
      <c r="AS6" s="1">
        <f t="shared" si="13"/>
        <v>1.315E-2</v>
      </c>
      <c r="AT6" s="17">
        <f t="shared" si="14"/>
        <v>37.280250000000002</v>
      </c>
      <c r="AV6" s="1" t="s">
        <v>34</v>
      </c>
      <c r="AW6" s="1">
        <v>400</v>
      </c>
      <c r="AX6" s="1" t="s">
        <v>22</v>
      </c>
      <c r="AY6" s="1">
        <f t="shared" si="15"/>
        <v>0.188</v>
      </c>
      <c r="AZ6" s="17">
        <f t="shared" si="16"/>
        <v>75.2</v>
      </c>
    </row>
    <row r="7" spans="1:52" x14ac:dyDescent="0.2">
      <c r="A7" s="1" t="s">
        <v>27</v>
      </c>
      <c r="B7" s="3">
        <v>16.75</v>
      </c>
      <c r="C7" s="5" t="s">
        <v>12</v>
      </c>
      <c r="D7" s="6">
        <f t="shared" si="0"/>
        <v>1.6750000000000001E-2</v>
      </c>
      <c r="F7" s="1" t="s">
        <v>120</v>
      </c>
      <c r="G7" s="1">
        <v>856</v>
      </c>
      <c r="H7" s="1" t="s">
        <v>22</v>
      </c>
      <c r="I7" s="1">
        <f t="shared" si="1"/>
        <v>4.1399999999999999E-2</v>
      </c>
      <c r="J7" s="17">
        <f t="shared" si="2"/>
        <v>35.438400000000001</v>
      </c>
      <c r="L7" s="1" t="s">
        <v>35</v>
      </c>
      <c r="M7" s="1">
        <v>2106</v>
      </c>
      <c r="N7" s="1" t="s">
        <v>22</v>
      </c>
      <c r="O7" s="1">
        <f t="shared" si="3"/>
        <v>4.9500000000000002E-2</v>
      </c>
      <c r="P7" s="17">
        <f t="shared" si="4"/>
        <v>104.247</v>
      </c>
      <c r="R7" s="1" t="s">
        <v>35</v>
      </c>
      <c r="S7" s="1">
        <v>2106</v>
      </c>
      <c r="T7" s="1" t="s">
        <v>22</v>
      </c>
      <c r="U7" s="1">
        <f t="shared" si="5"/>
        <v>4.9500000000000002E-2</v>
      </c>
      <c r="V7" s="17">
        <f t="shared" si="6"/>
        <v>104.247</v>
      </c>
      <c r="X7" s="1" t="s">
        <v>38</v>
      </c>
      <c r="Y7" s="1">
        <v>60</v>
      </c>
      <c r="Z7" s="1" t="s">
        <v>22</v>
      </c>
      <c r="AA7" s="1">
        <f t="shared" si="7"/>
        <v>0.38500000000000001</v>
      </c>
      <c r="AB7" s="17">
        <f t="shared" si="8"/>
        <v>23.1</v>
      </c>
      <c r="AD7" s="1" t="s">
        <v>35</v>
      </c>
      <c r="AE7" s="1">
        <v>2106</v>
      </c>
      <c r="AF7" s="1" t="s">
        <v>22</v>
      </c>
      <c r="AG7" s="1">
        <f t="shared" si="9"/>
        <v>4.9500000000000002E-2</v>
      </c>
      <c r="AH7" s="17">
        <f t="shared" si="10"/>
        <v>104.247</v>
      </c>
      <c r="AJ7" s="1" t="s">
        <v>35</v>
      </c>
      <c r="AK7" s="1">
        <v>2106</v>
      </c>
      <c r="AL7" s="1" t="s">
        <v>22</v>
      </c>
      <c r="AM7" s="1">
        <f t="shared" si="11"/>
        <v>4.9500000000000002E-2</v>
      </c>
      <c r="AN7" s="17">
        <f t="shared" si="12"/>
        <v>104.247</v>
      </c>
      <c r="AP7" s="1" t="s">
        <v>35</v>
      </c>
      <c r="AQ7" s="1">
        <v>2106</v>
      </c>
      <c r="AR7" s="1" t="s">
        <v>22</v>
      </c>
      <c r="AS7" s="1">
        <f t="shared" si="13"/>
        <v>4.9500000000000002E-2</v>
      </c>
      <c r="AT7" s="17">
        <f t="shared" si="14"/>
        <v>104.247</v>
      </c>
      <c r="AV7" s="1" t="s">
        <v>26</v>
      </c>
      <c r="AW7" s="1">
        <v>332.5</v>
      </c>
      <c r="AX7" s="1" t="s">
        <v>22</v>
      </c>
      <c r="AY7" s="1">
        <f t="shared" si="15"/>
        <v>1.315E-2</v>
      </c>
      <c r="AZ7" s="17">
        <f t="shared" si="16"/>
        <v>4.3723749999999999</v>
      </c>
    </row>
    <row r="8" spans="1:52" x14ac:dyDescent="0.2">
      <c r="A8" s="1" t="s">
        <v>35</v>
      </c>
      <c r="B8" s="3">
        <v>49.5</v>
      </c>
      <c r="C8" s="5" t="s">
        <v>12</v>
      </c>
      <c r="D8" s="6">
        <f t="shared" si="0"/>
        <v>4.9500000000000002E-2</v>
      </c>
      <c r="F8" s="8" t="s">
        <v>24</v>
      </c>
      <c r="G8" s="8">
        <v>2662</v>
      </c>
      <c r="H8" s="8" t="s">
        <v>22</v>
      </c>
      <c r="I8" s="1">
        <f t="shared" si="1"/>
        <v>7.6060000000000003E-2</v>
      </c>
      <c r="J8" s="18">
        <f t="shared" si="2"/>
        <v>202.47172</v>
      </c>
      <c r="L8" s="8" t="s">
        <v>68</v>
      </c>
      <c r="M8" s="8">
        <v>2936</v>
      </c>
      <c r="N8" s="8" t="s">
        <v>22</v>
      </c>
      <c r="O8" s="1">
        <f t="shared" si="3"/>
        <v>4.4999999999999998E-2</v>
      </c>
      <c r="P8" s="18">
        <f t="shared" si="4"/>
        <v>132.12</v>
      </c>
      <c r="R8" s="8" t="s">
        <v>68</v>
      </c>
      <c r="S8" s="8">
        <v>2936</v>
      </c>
      <c r="T8" s="8" t="s">
        <v>22</v>
      </c>
      <c r="U8" s="1">
        <f t="shared" si="5"/>
        <v>4.4999999999999998E-2</v>
      </c>
      <c r="V8" s="18">
        <f t="shared" si="6"/>
        <v>132.12</v>
      </c>
      <c r="X8" s="1" t="s">
        <v>21</v>
      </c>
      <c r="Y8" s="8">
        <v>350</v>
      </c>
      <c r="Z8" s="8" t="s">
        <v>22</v>
      </c>
      <c r="AA8" s="1">
        <f t="shared" si="7"/>
        <v>1.159E-2</v>
      </c>
      <c r="AB8" s="18">
        <f t="shared" si="8"/>
        <v>4.0564999999999998</v>
      </c>
      <c r="AD8" s="8" t="s">
        <v>68</v>
      </c>
      <c r="AE8" s="8">
        <v>2936</v>
      </c>
      <c r="AF8" s="8" t="s">
        <v>22</v>
      </c>
      <c r="AG8" s="1">
        <f t="shared" si="9"/>
        <v>4.4999999999999998E-2</v>
      </c>
      <c r="AH8" s="18">
        <f t="shared" si="10"/>
        <v>132.12</v>
      </c>
      <c r="AJ8" s="8" t="s">
        <v>68</v>
      </c>
      <c r="AK8" s="8">
        <v>2936</v>
      </c>
      <c r="AL8" s="8" t="s">
        <v>22</v>
      </c>
      <c r="AM8" s="1">
        <f t="shared" si="11"/>
        <v>4.4999999999999998E-2</v>
      </c>
      <c r="AN8" s="18">
        <f t="shared" si="12"/>
        <v>132.12</v>
      </c>
      <c r="AP8" s="8" t="s">
        <v>68</v>
      </c>
      <c r="AQ8" s="8">
        <v>2936</v>
      </c>
      <c r="AR8" s="8" t="s">
        <v>22</v>
      </c>
      <c r="AS8" s="1">
        <f t="shared" si="13"/>
        <v>4.4999999999999998E-2</v>
      </c>
      <c r="AT8" s="18">
        <f t="shared" si="14"/>
        <v>132.12</v>
      </c>
      <c r="AV8" s="8" t="s">
        <v>72</v>
      </c>
      <c r="AW8" s="8">
        <v>5</v>
      </c>
      <c r="AX8" s="8" t="s">
        <v>73</v>
      </c>
      <c r="AY8" s="1">
        <f t="shared" si="15"/>
        <v>14.6</v>
      </c>
      <c r="AZ8" s="18">
        <f t="shared" si="16"/>
        <v>73</v>
      </c>
    </row>
    <row r="9" spans="1:52" x14ac:dyDescent="0.2">
      <c r="A9" s="1" t="s">
        <v>40</v>
      </c>
      <c r="B9" s="3">
        <v>83.99</v>
      </c>
      <c r="C9" s="5" t="s">
        <v>12</v>
      </c>
      <c r="D9" s="6">
        <f t="shared" si="0"/>
        <v>8.3989999999999995E-2</v>
      </c>
      <c r="F9" s="8" t="s">
        <v>25</v>
      </c>
      <c r="G9" s="8">
        <v>856</v>
      </c>
      <c r="H9" s="8" t="s">
        <v>22</v>
      </c>
      <c r="I9" s="1">
        <f t="shared" si="1"/>
        <v>1.8839999999999999E-2</v>
      </c>
      <c r="J9" s="18">
        <f t="shared" si="2"/>
        <v>16.127040000000001</v>
      </c>
      <c r="L9" s="8" t="s">
        <v>26</v>
      </c>
      <c r="M9" s="8">
        <v>1620</v>
      </c>
      <c r="N9" s="8" t="s">
        <v>22</v>
      </c>
      <c r="O9" s="1">
        <f t="shared" si="3"/>
        <v>1.315E-2</v>
      </c>
      <c r="P9" s="18">
        <f t="shared" si="4"/>
        <v>21.303000000000001</v>
      </c>
      <c r="R9" s="8" t="s">
        <v>26</v>
      </c>
      <c r="S9" s="8">
        <v>1620</v>
      </c>
      <c r="T9" s="8" t="s">
        <v>22</v>
      </c>
      <c r="U9" s="1">
        <f t="shared" si="5"/>
        <v>1.315E-2</v>
      </c>
      <c r="V9" s="18">
        <f t="shared" si="6"/>
        <v>21.303000000000001</v>
      </c>
      <c r="X9" s="8" t="s">
        <v>13</v>
      </c>
      <c r="Y9" s="8">
        <v>15</v>
      </c>
      <c r="Z9" s="8" t="s">
        <v>22</v>
      </c>
      <c r="AA9" s="1">
        <f t="shared" si="7"/>
        <v>0.12909999999999999</v>
      </c>
      <c r="AB9" s="18">
        <f t="shared" si="8"/>
        <v>1.9364999999999999</v>
      </c>
      <c r="AD9" s="8" t="s">
        <v>26</v>
      </c>
      <c r="AE9" s="8">
        <v>1620</v>
      </c>
      <c r="AF9" s="8" t="s">
        <v>22</v>
      </c>
      <c r="AG9" s="1">
        <f t="shared" si="9"/>
        <v>1.315E-2</v>
      </c>
      <c r="AH9" s="18">
        <f t="shared" si="10"/>
        <v>21.303000000000001</v>
      </c>
      <c r="AJ9" s="8" t="s">
        <v>26</v>
      </c>
      <c r="AK9" s="8">
        <v>1620</v>
      </c>
      <c r="AL9" s="8" t="s">
        <v>22</v>
      </c>
      <c r="AM9" s="1">
        <f t="shared" si="11"/>
        <v>1.315E-2</v>
      </c>
      <c r="AN9" s="18">
        <f t="shared" si="12"/>
        <v>21.303000000000001</v>
      </c>
      <c r="AP9" s="8" t="s">
        <v>26</v>
      </c>
      <c r="AQ9" s="8">
        <v>1620</v>
      </c>
      <c r="AR9" s="8" t="s">
        <v>22</v>
      </c>
      <c r="AS9" s="1">
        <f t="shared" si="13"/>
        <v>1.315E-2</v>
      </c>
      <c r="AT9" s="18">
        <f t="shared" si="14"/>
        <v>21.303000000000001</v>
      </c>
      <c r="AV9" s="1" t="s">
        <v>33</v>
      </c>
      <c r="AW9" s="1">
        <v>167.5</v>
      </c>
      <c r="AX9" s="1" t="s">
        <v>22</v>
      </c>
      <c r="AY9" s="1">
        <f t="shared" si="15"/>
        <v>0.13930000000000001</v>
      </c>
      <c r="AZ9" s="18">
        <f t="shared" si="16"/>
        <v>23.332750000000001</v>
      </c>
    </row>
    <row r="10" spans="1:52" x14ac:dyDescent="0.2">
      <c r="A10" s="1" t="s">
        <v>42</v>
      </c>
      <c r="B10" s="3">
        <v>11.59</v>
      </c>
      <c r="C10" s="5" t="s">
        <v>12</v>
      </c>
      <c r="D10" s="6">
        <f t="shared" si="0"/>
        <v>1.159E-2</v>
      </c>
      <c r="F10" s="1" t="s">
        <v>21</v>
      </c>
      <c r="G10" s="8">
        <v>2662</v>
      </c>
      <c r="H10" s="8" t="s">
        <v>22</v>
      </c>
      <c r="I10" s="1">
        <f t="shared" si="1"/>
        <v>1.159E-2</v>
      </c>
      <c r="J10" s="18">
        <f t="shared" si="2"/>
        <v>30.85258</v>
      </c>
      <c r="L10" s="1" t="s">
        <v>41</v>
      </c>
      <c r="M10" s="1">
        <f>SUM(M4:M9)</f>
        <v>13325</v>
      </c>
      <c r="N10" s="1" t="s">
        <v>22</v>
      </c>
      <c r="O10" s="1"/>
      <c r="P10" s="17">
        <f>SUM(P4:P9)</f>
        <v>744.46124999999995</v>
      </c>
      <c r="R10" s="1" t="s">
        <v>41</v>
      </c>
      <c r="S10" s="1">
        <f>SUM(S4:S9)</f>
        <v>13325</v>
      </c>
      <c r="T10" s="1" t="s">
        <v>22</v>
      </c>
      <c r="U10" s="1"/>
      <c r="V10" s="17">
        <f>SUM(V4:V9)</f>
        <v>744.46124999999995</v>
      </c>
      <c r="X10" s="8" t="s">
        <v>26</v>
      </c>
      <c r="Y10" s="8">
        <v>320</v>
      </c>
      <c r="Z10" s="8" t="s">
        <v>22</v>
      </c>
      <c r="AA10" s="1">
        <f t="shared" si="7"/>
        <v>1.315E-2</v>
      </c>
      <c r="AB10" s="18">
        <f t="shared" si="8"/>
        <v>4.2080000000000002</v>
      </c>
      <c r="AD10" s="1" t="s">
        <v>41</v>
      </c>
      <c r="AE10" s="1">
        <f>SUM(AE4:AE9)</f>
        <v>13325</v>
      </c>
      <c r="AF10" s="1" t="s">
        <v>22</v>
      </c>
      <c r="AG10" s="1"/>
      <c r="AH10" s="17">
        <f>SUM(AH4:AH9)</f>
        <v>744.46124999999995</v>
      </c>
      <c r="AJ10" s="1" t="s">
        <v>41</v>
      </c>
      <c r="AK10" s="1">
        <f>SUM(AK4:AK9)</f>
        <v>13325</v>
      </c>
      <c r="AL10" s="1" t="s">
        <v>22</v>
      </c>
      <c r="AM10" s="1"/>
      <c r="AN10" s="17">
        <f>SUM(AN4:AN9)</f>
        <v>744.46124999999995</v>
      </c>
      <c r="AP10" s="1" t="s">
        <v>41</v>
      </c>
      <c r="AQ10" s="1">
        <f>SUM(AQ4:AQ9)</f>
        <v>13325</v>
      </c>
      <c r="AR10" s="1" t="s">
        <v>22</v>
      </c>
      <c r="AS10" s="1"/>
      <c r="AT10" s="17">
        <f>SUM(AT4:AT9)</f>
        <v>744.46124999999995</v>
      </c>
      <c r="AV10" s="1" t="s">
        <v>41</v>
      </c>
      <c r="AW10" s="1">
        <f>SUM(AW4:AW9)</f>
        <v>2905</v>
      </c>
      <c r="AX10" s="1" t="s">
        <v>22</v>
      </c>
      <c r="AY10" s="1"/>
      <c r="AZ10" s="17">
        <f>SUM(AZ4:AZ9)</f>
        <v>250.89512500000001</v>
      </c>
    </row>
    <row r="11" spans="1:52" x14ac:dyDescent="0.2">
      <c r="A11" s="1" t="s">
        <v>45</v>
      </c>
      <c r="B11" s="3">
        <v>14.11</v>
      </c>
      <c r="C11" s="5" t="s">
        <v>12</v>
      </c>
      <c r="D11" s="6">
        <f t="shared" si="0"/>
        <v>1.4109999999999999E-2</v>
      </c>
      <c r="F11" s="1" t="s">
        <v>13</v>
      </c>
      <c r="G11" s="8">
        <v>152</v>
      </c>
      <c r="H11" s="8" t="s">
        <v>22</v>
      </c>
      <c r="I11" s="1">
        <f t="shared" si="1"/>
        <v>0.12909999999999999</v>
      </c>
      <c r="J11" s="18">
        <f t="shared" si="2"/>
        <v>19.623199999999997</v>
      </c>
      <c r="L11" s="1" t="s">
        <v>43</v>
      </c>
      <c r="M11" s="1"/>
      <c r="N11" s="1"/>
      <c r="O11" s="1"/>
      <c r="P11" s="20">
        <f>P10/M10</f>
        <v>5.5869512195121949E-2</v>
      </c>
      <c r="R11" s="1" t="s">
        <v>43</v>
      </c>
      <c r="S11" s="1"/>
      <c r="T11" s="1"/>
      <c r="U11" s="1"/>
      <c r="V11" s="20">
        <f>V10/S10</f>
        <v>5.5869512195121949E-2</v>
      </c>
      <c r="X11" s="1" t="s">
        <v>41</v>
      </c>
      <c r="Y11" s="1">
        <f>SUM(Y4:Y10)</f>
        <v>1395</v>
      </c>
      <c r="Z11" s="1" t="s">
        <v>22</v>
      </c>
      <c r="AA11" s="1"/>
      <c r="AB11" s="17">
        <f>SUM(AB4:AB10)</f>
        <v>41.888500000000001</v>
      </c>
      <c r="AD11" s="1" t="s">
        <v>43</v>
      </c>
      <c r="AE11" s="1"/>
      <c r="AF11" s="1"/>
      <c r="AG11" s="1"/>
      <c r="AH11" s="20">
        <f>AH10/AE10</f>
        <v>5.5869512195121949E-2</v>
      </c>
      <c r="AJ11" s="1" t="s">
        <v>43</v>
      </c>
      <c r="AK11" s="1"/>
      <c r="AL11" s="1"/>
      <c r="AM11" s="1"/>
      <c r="AN11" s="20">
        <f>AN10/AK10</f>
        <v>5.5869512195121949E-2</v>
      </c>
      <c r="AP11" s="1" t="s">
        <v>43</v>
      </c>
      <c r="AQ11" s="1"/>
      <c r="AR11" s="1"/>
      <c r="AS11" s="1"/>
      <c r="AT11" s="20">
        <f>AT10/AQ10</f>
        <v>5.5869512195121949E-2</v>
      </c>
      <c r="AV11" s="1" t="s">
        <v>43</v>
      </c>
      <c r="AW11" s="1"/>
      <c r="AX11" s="1" t="s">
        <v>22</v>
      </c>
      <c r="AY11" s="1"/>
      <c r="AZ11" s="1">
        <f>AZ10/AW10</f>
        <v>8.636665232358004E-2</v>
      </c>
    </row>
    <row r="12" spans="1:52" x14ac:dyDescent="0.2">
      <c r="A12" s="1" t="s">
        <v>46</v>
      </c>
      <c r="B12" s="3">
        <v>24.61</v>
      </c>
      <c r="C12" s="5" t="s">
        <v>12</v>
      </c>
      <c r="D12" s="6">
        <f t="shared" si="0"/>
        <v>2.461E-2</v>
      </c>
      <c r="F12" s="1" t="s">
        <v>41</v>
      </c>
      <c r="G12" s="1">
        <f>SUM(G4:G11)</f>
        <v>11826</v>
      </c>
      <c r="H12" s="1" t="s">
        <v>22</v>
      </c>
      <c r="I12" s="1"/>
      <c r="J12" s="17">
        <f>SUM(J4:J11)</f>
        <v>503.07868999999999</v>
      </c>
      <c r="L12" s="36"/>
      <c r="M12" s="36"/>
      <c r="N12" s="36"/>
      <c r="O12" s="36"/>
      <c r="P12" s="36"/>
      <c r="R12" s="36"/>
      <c r="S12" s="36"/>
      <c r="T12" s="36"/>
      <c r="U12" s="36"/>
      <c r="V12" s="36"/>
      <c r="X12" s="1" t="s">
        <v>43</v>
      </c>
      <c r="Y12" s="1"/>
      <c r="Z12" s="1"/>
      <c r="AA12" s="1"/>
      <c r="AB12" s="20">
        <f>AB11/Y11</f>
        <v>3.0027598566308242E-2</v>
      </c>
      <c r="AD12" s="36"/>
      <c r="AE12" s="36"/>
      <c r="AF12" s="36"/>
      <c r="AG12" s="36"/>
      <c r="AH12" s="36"/>
      <c r="AJ12" s="36"/>
      <c r="AK12" s="36"/>
      <c r="AL12" s="36"/>
      <c r="AM12" s="36"/>
      <c r="AN12" s="36"/>
      <c r="AP12" s="36"/>
      <c r="AQ12" s="36"/>
      <c r="AR12" s="36"/>
      <c r="AS12" s="36"/>
      <c r="AT12" s="36"/>
    </row>
    <row r="13" spans="1:52" x14ac:dyDescent="0.2">
      <c r="A13" s="1" t="s">
        <v>30</v>
      </c>
      <c r="B13" s="3">
        <v>5.25</v>
      </c>
      <c r="C13" s="5" t="s">
        <v>12</v>
      </c>
      <c r="D13" s="6">
        <f t="shared" si="0"/>
        <v>5.2500000000000003E-3</v>
      </c>
      <c r="F13" s="1" t="s">
        <v>43</v>
      </c>
      <c r="G13" s="1"/>
      <c r="H13" s="1"/>
      <c r="I13" s="1"/>
      <c r="J13" s="20">
        <f>J12/G12</f>
        <v>4.254005496363944E-2</v>
      </c>
      <c r="L13" s="89" t="s">
        <v>440</v>
      </c>
      <c r="M13" s="90"/>
      <c r="N13" s="90"/>
      <c r="O13" s="90"/>
      <c r="P13" s="91"/>
      <c r="R13" s="82" t="s">
        <v>444</v>
      </c>
      <c r="S13" s="83"/>
      <c r="T13" s="83"/>
      <c r="U13" s="83"/>
      <c r="V13" s="84"/>
      <c r="X13" s="36"/>
      <c r="Y13" s="36"/>
      <c r="Z13" s="36"/>
      <c r="AA13" s="36"/>
      <c r="AB13" s="36"/>
      <c r="AD13" s="79" t="s">
        <v>454</v>
      </c>
      <c r="AE13" s="80"/>
      <c r="AF13" s="80"/>
      <c r="AG13" s="80"/>
      <c r="AH13" s="81"/>
      <c r="AJ13" s="92" t="s">
        <v>354</v>
      </c>
      <c r="AK13" s="93"/>
      <c r="AL13" s="93"/>
      <c r="AM13" s="93"/>
      <c r="AN13" s="94"/>
      <c r="AP13" s="89" t="s">
        <v>464</v>
      </c>
      <c r="AQ13" s="90"/>
      <c r="AR13" s="90"/>
      <c r="AS13" s="90"/>
      <c r="AT13" s="91"/>
      <c r="AV13" s="85" t="s">
        <v>439</v>
      </c>
      <c r="AW13" s="85"/>
      <c r="AX13" s="85"/>
      <c r="AY13" s="85"/>
      <c r="AZ13" s="85"/>
    </row>
    <row r="14" spans="1:52" x14ac:dyDescent="0.2">
      <c r="A14" s="1" t="s">
        <v>55</v>
      </c>
      <c r="B14" s="3">
        <v>13.41</v>
      </c>
      <c r="C14" s="5" t="s">
        <v>12</v>
      </c>
      <c r="D14" s="6">
        <f t="shared" si="0"/>
        <v>1.341E-2</v>
      </c>
      <c r="F14" s="36"/>
      <c r="G14" s="36"/>
      <c r="H14" s="36"/>
      <c r="I14" s="36"/>
      <c r="J14" s="36"/>
      <c r="L14" s="1" t="s">
        <v>191</v>
      </c>
      <c r="M14" s="1">
        <v>2000</v>
      </c>
      <c r="N14" s="1" t="s">
        <v>22</v>
      </c>
      <c r="O14" s="1">
        <f>_xlfn.XLOOKUP(L14,$A$2:$A$112,$D$2:$D$112)</f>
        <v>9.6000000000000002E-2</v>
      </c>
      <c r="P14" s="17">
        <f>M14*O14</f>
        <v>192</v>
      </c>
      <c r="R14" s="1" t="s">
        <v>186</v>
      </c>
      <c r="S14" s="1">
        <v>2700</v>
      </c>
      <c r="T14" s="1" t="s">
        <v>22</v>
      </c>
      <c r="U14" s="1">
        <f>_xlfn.XLOOKUP(R14,$A$2:$A$112,$D$2:$D$112)</f>
        <v>0.11359999999999999</v>
      </c>
      <c r="V14" s="17">
        <f>S14*U14</f>
        <v>306.71999999999997</v>
      </c>
      <c r="X14" s="75" t="s">
        <v>448</v>
      </c>
      <c r="Y14" s="76"/>
      <c r="Z14" s="76"/>
      <c r="AA14" s="76"/>
      <c r="AB14" s="77"/>
      <c r="AD14" s="1" t="s">
        <v>198</v>
      </c>
      <c r="AE14" s="1">
        <v>2700</v>
      </c>
      <c r="AF14" s="1" t="s">
        <v>22</v>
      </c>
      <c r="AG14" s="1">
        <f>_xlfn.XLOOKUP(AD14,$A$2:$A$112,$D$2:$D$112)</f>
        <v>9.5000000000000001E-2</v>
      </c>
      <c r="AH14" s="17">
        <f>AE14*AG14</f>
        <v>256.5</v>
      </c>
      <c r="AJ14" s="1" t="s">
        <v>183</v>
      </c>
      <c r="AK14" s="1">
        <v>2000</v>
      </c>
      <c r="AL14" s="1" t="s">
        <v>22</v>
      </c>
      <c r="AM14" s="1">
        <f>_xlfn.XLOOKUP(AJ14,$A$2:$A$112,$D$2:$D$112)</f>
        <v>0.16700000000000001</v>
      </c>
      <c r="AN14" s="17">
        <f>AK14*AM14</f>
        <v>334</v>
      </c>
      <c r="AP14" s="1" t="s">
        <v>466</v>
      </c>
      <c r="AQ14" s="1">
        <v>2000</v>
      </c>
      <c r="AR14" s="1" t="s">
        <v>22</v>
      </c>
      <c r="AS14" s="1">
        <f>_xlfn.XLOOKUP(AP14,$A$2:$A$114,$D$2:$D$114)</f>
        <v>0.17599999999999999</v>
      </c>
      <c r="AT14" s="17">
        <f>AQ14*AS14</f>
        <v>352</v>
      </c>
      <c r="AV14" s="1" t="s">
        <v>34</v>
      </c>
      <c r="AW14" s="1">
        <v>225</v>
      </c>
      <c r="AX14" s="1" t="s">
        <v>22</v>
      </c>
      <c r="AY14" s="1">
        <f>_xlfn.XLOOKUP(AV14,$A$2:$A$114,$D$2:$D$114)</f>
        <v>0.188</v>
      </c>
      <c r="AZ14" s="17">
        <f>AY14*AW14</f>
        <v>42.3</v>
      </c>
    </row>
    <row r="15" spans="1:52" x14ac:dyDescent="0.2">
      <c r="A15" s="1" t="s">
        <v>60</v>
      </c>
      <c r="B15" s="3">
        <v>107</v>
      </c>
      <c r="C15" s="5" t="s">
        <v>61</v>
      </c>
      <c r="D15" s="6">
        <f t="shared" si="0"/>
        <v>0.107</v>
      </c>
      <c r="F15" s="92" t="s">
        <v>429</v>
      </c>
      <c r="G15" s="93"/>
      <c r="H15" s="93"/>
      <c r="I15" s="93"/>
      <c r="J15" s="94"/>
      <c r="L15" s="1" t="s">
        <v>26</v>
      </c>
      <c r="M15" s="1">
        <v>400</v>
      </c>
      <c r="N15" s="1" t="s">
        <v>22</v>
      </c>
      <c r="O15" s="1">
        <f t="shared" ref="O15:O19" si="17">_xlfn.XLOOKUP(L15,$A$2:$A$112,$D$2:$D$112)</f>
        <v>1.315E-2</v>
      </c>
      <c r="P15" s="17">
        <f t="shared" ref="P15:P19" si="18">M15*O15</f>
        <v>5.26</v>
      </c>
      <c r="R15" s="1" t="s">
        <v>26</v>
      </c>
      <c r="S15" s="1">
        <v>2430</v>
      </c>
      <c r="T15" s="1" t="s">
        <v>22</v>
      </c>
      <c r="U15" s="1">
        <f t="shared" ref="U15:U18" si="19">_xlfn.XLOOKUP(R15,$A$2:$A$112,$D$2:$D$112)</f>
        <v>1.315E-2</v>
      </c>
      <c r="V15" s="17">
        <f t="shared" ref="V15:V18" si="20">S15*U15</f>
        <v>31.954499999999999</v>
      </c>
      <c r="X15" s="1" t="s">
        <v>197</v>
      </c>
      <c r="Y15" s="1">
        <v>2000</v>
      </c>
      <c r="Z15" s="1" t="s">
        <v>22</v>
      </c>
      <c r="AA15" s="1">
        <f>_xlfn.XLOOKUP(X15,$A$2:$A$112,$D$2:$D$112)</f>
        <v>0.10920000000000001</v>
      </c>
      <c r="AB15" s="17">
        <f>Y15*AA15</f>
        <v>218.4</v>
      </c>
      <c r="AD15" s="1" t="s">
        <v>26</v>
      </c>
      <c r="AE15" s="1">
        <v>2430</v>
      </c>
      <c r="AF15" s="1" t="s">
        <v>22</v>
      </c>
      <c r="AG15" s="1">
        <f t="shared" ref="AG15:AG18" si="21">_xlfn.XLOOKUP(AD15,$A$2:$A$112,$D$2:$D$112)</f>
        <v>1.315E-2</v>
      </c>
      <c r="AH15" s="17">
        <f t="shared" ref="AH15:AH18" si="22">AE15*AG15</f>
        <v>31.954499999999999</v>
      </c>
      <c r="AJ15" s="1" t="s">
        <v>26</v>
      </c>
      <c r="AK15" s="1">
        <v>400</v>
      </c>
      <c r="AL15" s="1" t="s">
        <v>22</v>
      </c>
      <c r="AM15" s="1">
        <f t="shared" ref="AM15:AM19" si="23">_xlfn.XLOOKUP(AJ15,$A$2:$A$112,$D$2:$D$112)</f>
        <v>1.315E-2</v>
      </c>
      <c r="AN15" s="17">
        <f t="shared" ref="AN15:AN19" si="24">AK15*AM15</f>
        <v>5.26</v>
      </c>
      <c r="AP15" s="1" t="s">
        <v>26</v>
      </c>
      <c r="AQ15" s="1">
        <v>400</v>
      </c>
      <c r="AR15" s="1" t="s">
        <v>22</v>
      </c>
      <c r="AS15" s="1">
        <f t="shared" ref="AS15:AS19" si="25">_xlfn.XLOOKUP(AP15,$A$2:$A$112,$D$2:$D$112)</f>
        <v>1.315E-2</v>
      </c>
      <c r="AT15" s="17">
        <f t="shared" ref="AT15:AT19" si="26">AQ15*AS15</f>
        <v>5.26</v>
      </c>
      <c r="AV15" s="1" t="s">
        <v>28</v>
      </c>
      <c r="AW15" s="1">
        <v>342</v>
      </c>
      <c r="AX15" s="1" t="s">
        <v>22</v>
      </c>
      <c r="AY15" s="1">
        <f t="shared" ref="AY15:AY19" si="27">_xlfn.XLOOKUP(AV15,$A$2:$A$114,$D$2:$D$114)</f>
        <v>7.0999999999999994E-2</v>
      </c>
      <c r="AZ15" s="17">
        <f t="shared" ref="AZ15:AZ19" si="28">AY15*AW15</f>
        <v>24.281999999999996</v>
      </c>
    </row>
    <row r="16" spans="1:52" x14ac:dyDescent="0.2">
      <c r="A16" s="1" t="s">
        <v>64</v>
      </c>
      <c r="B16" s="3">
        <v>37.9</v>
      </c>
      <c r="C16" s="5" t="s">
        <v>61</v>
      </c>
      <c r="D16" s="6">
        <f t="shared" si="0"/>
        <v>3.7899999999999996E-2</v>
      </c>
      <c r="F16" s="1" t="s">
        <v>190</v>
      </c>
      <c r="G16" s="1">
        <v>2000</v>
      </c>
      <c r="H16" s="1" t="s">
        <v>22</v>
      </c>
      <c r="I16" s="1">
        <f>_xlfn.XLOOKUP(F16,$A$2:$A$112,$D$2:$D$112)</f>
        <v>0.09</v>
      </c>
      <c r="J16" s="17">
        <f>G16*I16</f>
        <v>180</v>
      </c>
      <c r="L16" s="1" t="s">
        <v>150</v>
      </c>
      <c r="M16" s="1">
        <v>88</v>
      </c>
      <c r="N16" s="1" t="s">
        <v>22</v>
      </c>
      <c r="O16" s="1">
        <f t="shared" si="17"/>
        <v>8.5000000000000006E-2</v>
      </c>
      <c r="P16" s="17">
        <f t="shared" si="18"/>
        <v>7.48</v>
      </c>
      <c r="R16" s="1" t="s">
        <v>90</v>
      </c>
      <c r="S16" s="1">
        <v>270</v>
      </c>
      <c r="T16" s="1" t="s">
        <v>22</v>
      </c>
      <c r="U16" s="1">
        <f t="shared" si="19"/>
        <v>0.93</v>
      </c>
      <c r="V16" s="17">
        <f t="shared" si="20"/>
        <v>251.10000000000002</v>
      </c>
      <c r="X16" s="1" t="s">
        <v>26</v>
      </c>
      <c r="Y16" s="1">
        <v>400</v>
      </c>
      <c r="Z16" s="1" t="s">
        <v>22</v>
      </c>
      <c r="AA16" s="1">
        <f t="shared" ref="AA16:AA20" si="29">_xlfn.XLOOKUP(X16,$A$2:$A$112,$D$2:$D$112)</f>
        <v>1.315E-2</v>
      </c>
      <c r="AB16" s="17">
        <f t="shared" ref="AB16:AB20" si="30">Y16*AA16</f>
        <v>5.26</v>
      </c>
      <c r="AD16" s="1" t="s">
        <v>90</v>
      </c>
      <c r="AE16" s="1">
        <v>270</v>
      </c>
      <c r="AF16" s="1" t="s">
        <v>22</v>
      </c>
      <c r="AG16" s="1">
        <f t="shared" si="21"/>
        <v>0.93</v>
      </c>
      <c r="AH16" s="17">
        <f t="shared" si="22"/>
        <v>251.10000000000002</v>
      </c>
      <c r="AJ16" s="1" t="s">
        <v>150</v>
      </c>
      <c r="AK16" s="1">
        <v>88</v>
      </c>
      <c r="AL16" s="1" t="s">
        <v>22</v>
      </c>
      <c r="AM16" s="1">
        <f t="shared" si="23"/>
        <v>8.5000000000000006E-2</v>
      </c>
      <c r="AN16" s="17">
        <f t="shared" si="24"/>
        <v>7.48</v>
      </c>
      <c r="AP16" s="1" t="s">
        <v>150</v>
      </c>
      <c r="AQ16" s="1">
        <v>88</v>
      </c>
      <c r="AR16" s="1" t="s">
        <v>22</v>
      </c>
      <c r="AS16" s="1">
        <f t="shared" si="25"/>
        <v>8.5000000000000006E-2</v>
      </c>
      <c r="AT16" s="17">
        <f t="shared" si="26"/>
        <v>7.48</v>
      </c>
      <c r="AV16" s="1" t="s">
        <v>26</v>
      </c>
      <c r="AW16" s="1">
        <v>420</v>
      </c>
      <c r="AX16" s="1" t="s">
        <v>22</v>
      </c>
      <c r="AY16" s="1">
        <f t="shared" si="27"/>
        <v>1.315E-2</v>
      </c>
      <c r="AZ16" s="17">
        <f t="shared" si="28"/>
        <v>5.5229999999999997</v>
      </c>
    </row>
    <row r="17" spans="1:52" x14ac:dyDescent="0.2">
      <c r="A17" s="1" t="s">
        <v>65</v>
      </c>
      <c r="B17" s="3">
        <v>29.7</v>
      </c>
      <c r="C17" s="5" t="s">
        <v>12</v>
      </c>
      <c r="D17" s="6">
        <f t="shared" si="0"/>
        <v>2.9700000000000001E-2</v>
      </c>
      <c r="F17" s="1" t="s">
        <v>26</v>
      </c>
      <c r="G17" s="1">
        <v>400</v>
      </c>
      <c r="H17" s="1" t="s">
        <v>22</v>
      </c>
      <c r="I17" s="1">
        <f t="shared" ref="I17:I21" si="31">_xlfn.XLOOKUP(F17,$A$2:$A$112,$D$2:$D$112)</f>
        <v>1.315E-2</v>
      </c>
      <c r="J17" s="17">
        <f t="shared" ref="J17:J21" si="32">G17*I17</f>
        <v>5.26</v>
      </c>
      <c r="L17" s="1" t="s">
        <v>90</v>
      </c>
      <c r="M17" s="1">
        <v>20</v>
      </c>
      <c r="N17" s="1" t="s">
        <v>22</v>
      </c>
      <c r="O17" s="1">
        <f t="shared" si="17"/>
        <v>0.93</v>
      </c>
      <c r="P17" s="17">
        <f t="shared" si="18"/>
        <v>18.600000000000001</v>
      </c>
      <c r="R17" s="1" t="s">
        <v>195</v>
      </c>
      <c r="S17" s="1">
        <v>6750</v>
      </c>
      <c r="T17" s="1" t="s">
        <v>22</v>
      </c>
      <c r="U17" s="1">
        <f t="shared" si="19"/>
        <v>7.2999999999999995E-2</v>
      </c>
      <c r="V17" s="17">
        <f t="shared" si="20"/>
        <v>492.74999999999994</v>
      </c>
      <c r="X17" s="1" t="s">
        <v>150</v>
      </c>
      <c r="Y17" s="1">
        <v>88</v>
      </c>
      <c r="Z17" s="1" t="s">
        <v>22</v>
      </c>
      <c r="AA17" s="1">
        <f t="shared" si="29"/>
        <v>8.5000000000000006E-2</v>
      </c>
      <c r="AB17" s="17">
        <f t="shared" si="30"/>
        <v>7.48</v>
      </c>
      <c r="AD17" s="1" t="s">
        <v>161</v>
      </c>
      <c r="AE17" s="1">
        <v>6750</v>
      </c>
      <c r="AF17" s="1" t="s">
        <v>22</v>
      </c>
      <c r="AG17" s="1">
        <f t="shared" si="21"/>
        <v>0.05</v>
      </c>
      <c r="AH17" s="17">
        <f t="shared" si="22"/>
        <v>337.5</v>
      </c>
      <c r="AJ17" s="1" t="s">
        <v>90</v>
      </c>
      <c r="AK17" s="1">
        <v>20</v>
      </c>
      <c r="AL17" s="1" t="s">
        <v>22</v>
      </c>
      <c r="AM17" s="1">
        <f t="shared" si="23"/>
        <v>0.93</v>
      </c>
      <c r="AN17" s="17">
        <f t="shared" si="24"/>
        <v>18.600000000000001</v>
      </c>
      <c r="AP17" s="1" t="s">
        <v>90</v>
      </c>
      <c r="AQ17" s="1">
        <v>20</v>
      </c>
      <c r="AR17" s="1" t="s">
        <v>22</v>
      </c>
      <c r="AS17" s="1">
        <f t="shared" si="25"/>
        <v>0.93</v>
      </c>
      <c r="AT17" s="17">
        <f t="shared" si="26"/>
        <v>18.600000000000001</v>
      </c>
      <c r="AV17" s="1" t="s">
        <v>35</v>
      </c>
      <c r="AW17" s="1">
        <v>312</v>
      </c>
      <c r="AX17" s="1" t="s">
        <v>22</v>
      </c>
      <c r="AY17" s="1">
        <f t="shared" si="27"/>
        <v>4.9500000000000002E-2</v>
      </c>
      <c r="AZ17" s="17">
        <f t="shared" si="28"/>
        <v>15.444000000000001</v>
      </c>
    </row>
    <row r="18" spans="1:52" x14ac:dyDescent="0.2">
      <c r="A18" s="1" t="s">
        <v>69</v>
      </c>
      <c r="B18" s="3">
        <v>32.39</v>
      </c>
      <c r="C18" s="5" t="s">
        <v>12</v>
      </c>
      <c r="D18" s="6">
        <f t="shared" si="0"/>
        <v>3.2390000000000002E-2</v>
      </c>
      <c r="F18" s="1" t="s">
        <v>150</v>
      </c>
      <c r="G18" s="1">
        <v>88</v>
      </c>
      <c r="H18" s="1" t="s">
        <v>22</v>
      </c>
      <c r="I18" s="1">
        <f t="shared" si="31"/>
        <v>8.5000000000000006E-2</v>
      </c>
      <c r="J18" s="17">
        <f t="shared" si="32"/>
        <v>7.48</v>
      </c>
      <c r="L18" s="1" t="s">
        <v>135</v>
      </c>
      <c r="M18" s="8">
        <v>5</v>
      </c>
      <c r="N18" s="8" t="s">
        <v>22</v>
      </c>
      <c r="O18" s="1">
        <f t="shared" si="17"/>
        <v>1.224</v>
      </c>
      <c r="P18" s="18">
        <f t="shared" si="18"/>
        <v>6.12</v>
      </c>
      <c r="R18" s="8" t="s">
        <v>51</v>
      </c>
      <c r="S18" s="8">
        <v>540</v>
      </c>
      <c r="T18" s="8" t="s">
        <v>22</v>
      </c>
      <c r="U18" s="1">
        <f t="shared" si="19"/>
        <v>9.0999999999999998E-2</v>
      </c>
      <c r="V18" s="18">
        <f t="shared" si="20"/>
        <v>49.14</v>
      </c>
      <c r="X18" s="1" t="s">
        <v>90</v>
      </c>
      <c r="Y18" s="1">
        <v>20</v>
      </c>
      <c r="Z18" s="1" t="s">
        <v>22</v>
      </c>
      <c r="AA18" s="1">
        <f t="shared" si="29"/>
        <v>0.93</v>
      </c>
      <c r="AB18" s="17">
        <f t="shared" si="30"/>
        <v>18.600000000000001</v>
      </c>
      <c r="AD18" s="8" t="s">
        <v>51</v>
      </c>
      <c r="AE18" s="8">
        <v>540</v>
      </c>
      <c r="AF18" s="8" t="s">
        <v>22</v>
      </c>
      <c r="AG18" s="1">
        <f t="shared" si="21"/>
        <v>9.0999999999999998E-2</v>
      </c>
      <c r="AH18" s="18">
        <f t="shared" si="22"/>
        <v>49.14</v>
      </c>
      <c r="AJ18" s="1" t="s">
        <v>135</v>
      </c>
      <c r="AK18" s="8">
        <v>5</v>
      </c>
      <c r="AL18" s="8" t="s">
        <v>22</v>
      </c>
      <c r="AM18" s="1">
        <f t="shared" si="23"/>
        <v>1.224</v>
      </c>
      <c r="AN18" s="18">
        <f t="shared" si="24"/>
        <v>6.12</v>
      </c>
      <c r="AP18" s="1" t="s">
        <v>135</v>
      </c>
      <c r="AQ18" s="8">
        <v>5</v>
      </c>
      <c r="AR18" s="8" t="s">
        <v>22</v>
      </c>
      <c r="AS18" s="1">
        <f t="shared" si="25"/>
        <v>1.224</v>
      </c>
      <c r="AT18" s="18">
        <f t="shared" si="26"/>
        <v>6.12</v>
      </c>
      <c r="AV18" s="1" t="s">
        <v>68</v>
      </c>
      <c r="AW18" s="1">
        <v>435</v>
      </c>
      <c r="AX18" s="1" t="s">
        <v>22</v>
      </c>
      <c r="AY18" s="1">
        <f t="shared" si="27"/>
        <v>4.4999999999999998E-2</v>
      </c>
      <c r="AZ18" s="17">
        <f t="shared" si="28"/>
        <v>19.574999999999999</v>
      </c>
    </row>
    <row r="19" spans="1:52" x14ac:dyDescent="0.2">
      <c r="A19" s="1" t="s">
        <v>71</v>
      </c>
      <c r="B19" s="3">
        <v>100.48</v>
      </c>
      <c r="C19" s="5" t="s">
        <v>12</v>
      </c>
      <c r="D19" s="6">
        <f t="shared" si="0"/>
        <v>0.10048</v>
      </c>
      <c r="F19" s="1" t="s">
        <v>90</v>
      </c>
      <c r="G19" s="1">
        <v>20</v>
      </c>
      <c r="H19" s="1" t="s">
        <v>22</v>
      </c>
      <c r="I19" s="1">
        <f t="shared" si="31"/>
        <v>0.93</v>
      </c>
      <c r="J19" s="17">
        <f t="shared" si="32"/>
        <v>18.600000000000001</v>
      </c>
      <c r="L19" s="8" t="s">
        <v>51</v>
      </c>
      <c r="M19" s="8">
        <v>60</v>
      </c>
      <c r="N19" s="8" t="s">
        <v>22</v>
      </c>
      <c r="O19" s="1">
        <f t="shared" si="17"/>
        <v>9.0999999999999998E-2</v>
      </c>
      <c r="P19" s="18">
        <f t="shared" si="18"/>
        <v>5.46</v>
      </c>
      <c r="R19" s="1" t="s">
        <v>41</v>
      </c>
      <c r="S19" s="1">
        <f>SUM(S14:S18)</f>
        <v>12690</v>
      </c>
      <c r="T19" s="1" t="s">
        <v>22</v>
      </c>
      <c r="U19" s="1"/>
      <c r="V19" s="17">
        <f>SUM(V14:V18)</f>
        <v>1131.6645000000001</v>
      </c>
      <c r="X19" s="1" t="s">
        <v>135</v>
      </c>
      <c r="Y19" s="8">
        <v>5</v>
      </c>
      <c r="Z19" s="8" t="s">
        <v>22</v>
      </c>
      <c r="AA19" s="1">
        <f t="shared" si="29"/>
        <v>1.224</v>
      </c>
      <c r="AB19" s="18">
        <f t="shared" si="30"/>
        <v>6.12</v>
      </c>
      <c r="AD19" s="1" t="s">
        <v>41</v>
      </c>
      <c r="AE19" s="1">
        <f>SUM(AE14:AE18)</f>
        <v>12690</v>
      </c>
      <c r="AF19" s="1" t="s">
        <v>22</v>
      </c>
      <c r="AG19" s="1"/>
      <c r="AH19" s="17">
        <f>SUM(AH14:AH18)</f>
        <v>926.19449999999995</v>
      </c>
      <c r="AJ19" s="8" t="s">
        <v>51</v>
      </c>
      <c r="AK19" s="8">
        <v>60</v>
      </c>
      <c r="AL19" s="8" t="s">
        <v>22</v>
      </c>
      <c r="AM19" s="1">
        <f t="shared" si="23"/>
        <v>9.0999999999999998E-2</v>
      </c>
      <c r="AN19" s="18">
        <f t="shared" si="24"/>
        <v>5.46</v>
      </c>
      <c r="AP19" s="8" t="s">
        <v>51</v>
      </c>
      <c r="AQ19" s="8">
        <v>60</v>
      </c>
      <c r="AR19" s="8" t="s">
        <v>22</v>
      </c>
      <c r="AS19" s="1">
        <f t="shared" si="25"/>
        <v>9.0999999999999998E-2</v>
      </c>
      <c r="AT19" s="18">
        <f t="shared" si="26"/>
        <v>5.46</v>
      </c>
      <c r="AV19" s="1" t="s">
        <v>26</v>
      </c>
      <c r="AW19" s="1">
        <v>240</v>
      </c>
      <c r="AX19" s="1" t="s">
        <v>22</v>
      </c>
      <c r="AY19" s="1">
        <f t="shared" si="27"/>
        <v>1.315E-2</v>
      </c>
      <c r="AZ19" s="17">
        <f t="shared" si="28"/>
        <v>3.1560000000000001</v>
      </c>
    </row>
    <row r="20" spans="1:52" x14ac:dyDescent="0.2">
      <c r="A20" s="1" t="s">
        <v>75</v>
      </c>
      <c r="B20" s="3">
        <v>61.57</v>
      </c>
      <c r="C20" s="5" t="s">
        <v>12</v>
      </c>
      <c r="D20" s="6">
        <f t="shared" si="0"/>
        <v>6.157E-2</v>
      </c>
      <c r="F20" s="1" t="s">
        <v>135</v>
      </c>
      <c r="G20" s="8">
        <v>5</v>
      </c>
      <c r="H20" s="8" t="s">
        <v>22</v>
      </c>
      <c r="I20" s="1">
        <f t="shared" si="31"/>
        <v>1.224</v>
      </c>
      <c r="J20" s="18">
        <f t="shared" si="32"/>
        <v>6.12</v>
      </c>
      <c r="L20" s="1" t="s">
        <v>41</v>
      </c>
      <c r="M20" s="1">
        <f>SUM(M14:M19)</f>
        <v>2573</v>
      </c>
      <c r="N20" s="1" t="s">
        <v>22</v>
      </c>
      <c r="O20" s="1"/>
      <c r="P20" s="17">
        <f>SUM(P14:P19)</f>
        <v>234.92</v>
      </c>
      <c r="R20" s="1" t="s">
        <v>43</v>
      </c>
      <c r="S20" s="1"/>
      <c r="T20" s="1"/>
      <c r="U20" s="1"/>
      <c r="V20" s="20">
        <f>V19/S19</f>
        <v>8.9177659574468091E-2</v>
      </c>
      <c r="X20" s="8" t="s">
        <v>51</v>
      </c>
      <c r="Y20" s="8">
        <v>60</v>
      </c>
      <c r="Z20" s="8" t="s">
        <v>22</v>
      </c>
      <c r="AA20" s="1">
        <f t="shared" si="29"/>
        <v>9.0999999999999998E-2</v>
      </c>
      <c r="AB20" s="18">
        <f t="shared" si="30"/>
        <v>5.46</v>
      </c>
      <c r="AD20" s="1" t="s">
        <v>43</v>
      </c>
      <c r="AE20" s="1"/>
      <c r="AF20" s="1"/>
      <c r="AG20" s="1"/>
      <c r="AH20" s="20">
        <f>AH19/AE19</f>
        <v>7.2986170212765947E-2</v>
      </c>
      <c r="AJ20" s="1" t="s">
        <v>41</v>
      </c>
      <c r="AK20" s="1">
        <f>SUM(AK14:AK19)</f>
        <v>2573</v>
      </c>
      <c r="AL20" s="1" t="s">
        <v>22</v>
      </c>
      <c r="AM20" s="1"/>
      <c r="AN20" s="17">
        <f>SUM(AN14:AN19)</f>
        <v>376.92</v>
      </c>
      <c r="AP20" s="1" t="s">
        <v>41</v>
      </c>
      <c r="AQ20" s="1">
        <f>SUM(AQ14:AQ19)</f>
        <v>2573</v>
      </c>
      <c r="AR20" s="1" t="s">
        <v>22</v>
      </c>
      <c r="AS20" s="1"/>
      <c r="AT20" s="17">
        <f>SUM(AT14:AT19)</f>
        <v>394.92</v>
      </c>
      <c r="AV20" s="8" t="s">
        <v>41</v>
      </c>
      <c r="AW20" s="8">
        <f>SUM(AW14:AW19)</f>
        <v>1974</v>
      </c>
      <c r="AX20" s="8" t="s">
        <v>22</v>
      </c>
      <c r="AY20" s="8"/>
      <c r="AZ20" s="18">
        <f>SUM(AZ14:AZ19)</f>
        <v>110.28</v>
      </c>
    </row>
    <row r="21" spans="1:52" x14ac:dyDescent="0.2">
      <c r="A21" s="1" t="s">
        <v>76</v>
      </c>
      <c r="B21" s="3">
        <v>81.03</v>
      </c>
      <c r="C21" s="5" t="s">
        <v>12</v>
      </c>
      <c r="D21" s="6">
        <f t="shared" si="0"/>
        <v>8.1030000000000005E-2</v>
      </c>
      <c r="F21" s="8" t="s">
        <v>51</v>
      </c>
      <c r="G21" s="8">
        <v>60</v>
      </c>
      <c r="H21" s="8" t="s">
        <v>22</v>
      </c>
      <c r="I21" s="1">
        <f t="shared" si="31"/>
        <v>9.0999999999999998E-2</v>
      </c>
      <c r="J21" s="18">
        <f t="shared" si="32"/>
        <v>5.46</v>
      </c>
      <c r="L21" s="1" t="s">
        <v>43</v>
      </c>
      <c r="M21" s="1"/>
      <c r="N21" s="1"/>
      <c r="O21" s="1"/>
      <c r="P21" s="20">
        <f>P20/M20</f>
        <v>9.1301982122036524E-2</v>
      </c>
      <c r="X21" s="1" t="s">
        <v>41</v>
      </c>
      <c r="Y21" s="1">
        <f>SUM(Y15:Y20)</f>
        <v>2573</v>
      </c>
      <c r="Z21" s="1" t="s">
        <v>22</v>
      </c>
      <c r="AA21" s="1"/>
      <c r="AB21" s="17">
        <f>SUM(AB15:AB20)</f>
        <v>261.32</v>
      </c>
      <c r="AJ21" s="1" t="s">
        <v>43</v>
      </c>
      <c r="AK21" s="1"/>
      <c r="AL21" s="1"/>
      <c r="AM21" s="1"/>
      <c r="AN21" s="20">
        <f>AN20/AK20</f>
        <v>0.14649047804119705</v>
      </c>
      <c r="AP21" s="1" t="s">
        <v>43</v>
      </c>
      <c r="AQ21" s="1"/>
      <c r="AR21" s="1"/>
      <c r="AS21" s="1"/>
      <c r="AT21" s="20">
        <f>AT20/AQ20</f>
        <v>0.15348620287602022</v>
      </c>
      <c r="AV21" s="1" t="s">
        <v>43</v>
      </c>
      <c r="AW21" s="1"/>
      <c r="AX21" s="1"/>
      <c r="AY21" s="1"/>
      <c r="AZ21" s="20">
        <f>AZ20/AW20</f>
        <v>5.5866261398176291E-2</v>
      </c>
    </row>
    <row r="22" spans="1:52" x14ac:dyDescent="0.2">
      <c r="A22" s="1" t="s">
        <v>77</v>
      </c>
      <c r="B22" s="3">
        <v>106.04</v>
      </c>
      <c r="C22" s="5" t="s">
        <v>12</v>
      </c>
      <c r="D22" s="6">
        <f t="shared" si="0"/>
        <v>0.10604000000000001</v>
      </c>
      <c r="F22" s="1" t="s">
        <v>41</v>
      </c>
      <c r="G22" s="1">
        <f>SUM(G16:G21)</f>
        <v>2573</v>
      </c>
      <c r="H22" s="1" t="s">
        <v>22</v>
      </c>
      <c r="I22" s="1"/>
      <c r="J22" s="17">
        <f>SUM(J16:J21)</f>
        <v>222.92</v>
      </c>
      <c r="R22" s="82" t="s">
        <v>445</v>
      </c>
      <c r="S22" s="83"/>
      <c r="T22" s="83"/>
      <c r="U22" s="83"/>
      <c r="V22" s="84"/>
      <c r="X22" s="1" t="s">
        <v>43</v>
      </c>
      <c r="Y22" s="1"/>
      <c r="Z22" s="1"/>
      <c r="AA22" s="1"/>
      <c r="AB22" s="20">
        <f>AB21/Y21</f>
        <v>0.10156237854644384</v>
      </c>
      <c r="AD22" s="79" t="s">
        <v>465</v>
      </c>
      <c r="AE22" s="80"/>
      <c r="AF22" s="80"/>
      <c r="AG22" s="80"/>
      <c r="AH22" s="81"/>
    </row>
    <row r="23" spans="1:52" x14ac:dyDescent="0.2">
      <c r="A23" s="1" t="s">
        <v>80</v>
      </c>
      <c r="B23" s="3">
        <v>89</v>
      </c>
      <c r="C23" s="5" t="s">
        <v>12</v>
      </c>
      <c r="D23" s="6">
        <f t="shared" si="0"/>
        <v>8.8999999999999996E-2</v>
      </c>
      <c r="F23" s="1" t="s">
        <v>43</v>
      </c>
      <c r="G23" s="1"/>
      <c r="H23" s="1"/>
      <c r="I23" s="1"/>
      <c r="J23" s="20">
        <f>J22/G22</f>
        <v>8.6638165565487757E-2</v>
      </c>
      <c r="L23" s="89" t="s">
        <v>19</v>
      </c>
      <c r="M23" s="90"/>
      <c r="N23" s="90"/>
      <c r="O23" s="90"/>
      <c r="P23" s="91"/>
      <c r="R23" s="1" t="s">
        <v>188</v>
      </c>
      <c r="S23" s="1">
        <v>1000</v>
      </c>
      <c r="T23" s="1" t="s">
        <v>22</v>
      </c>
      <c r="U23" s="1">
        <f>_xlfn.XLOOKUP(R23,$A$2:$A$113,$D$2:$D$113)</f>
        <v>0.13300000000000001</v>
      </c>
      <c r="V23" s="1">
        <f>U23*S23</f>
        <v>133</v>
      </c>
      <c r="AD23" s="1" t="s">
        <v>25</v>
      </c>
      <c r="AE23" s="1">
        <v>3000</v>
      </c>
      <c r="AF23" s="1" t="s">
        <v>22</v>
      </c>
      <c r="AG23" s="1">
        <f>_xlfn.XLOOKUP(AD23,$A$2:$A$113,$D$2:$D$113)</f>
        <v>1.8839999999999999E-2</v>
      </c>
      <c r="AH23" s="1">
        <f>AG23*AE23</f>
        <v>56.519999999999996</v>
      </c>
      <c r="AJ23" s="92" t="s">
        <v>460</v>
      </c>
      <c r="AK23" s="93"/>
      <c r="AL23" s="93"/>
      <c r="AM23" s="93"/>
      <c r="AN23" s="94"/>
      <c r="AP23" s="89" t="s">
        <v>467</v>
      </c>
      <c r="AQ23" s="90"/>
      <c r="AR23" s="90"/>
      <c r="AS23" s="90"/>
      <c r="AT23" s="91"/>
      <c r="AV23" s="85" t="s">
        <v>19</v>
      </c>
      <c r="AW23" s="85"/>
      <c r="AX23" s="85"/>
      <c r="AY23" s="85"/>
      <c r="AZ23" s="85"/>
    </row>
    <row r="24" spans="1:52" x14ac:dyDescent="0.2">
      <c r="A24" s="1" t="s">
        <v>85</v>
      </c>
      <c r="B24" s="3">
        <v>26.5</v>
      </c>
      <c r="C24" s="5" t="s">
        <v>12</v>
      </c>
      <c r="D24" s="6">
        <f t="shared" si="0"/>
        <v>2.6499999999999999E-2</v>
      </c>
      <c r="L24" s="1" t="s">
        <v>25</v>
      </c>
      <c r="M24" s="1">
        <v>675</v>
      </c>
      <c r="N24" s="1" t="s">
        <v>22</v>
      </c>
      <c r="O24" s="1">
        <f>_xlfn.XLOOKUP(L24,$A$2:$A$113,$D$2:$D$113)</f>
        <v>1.8839999999999999E-2</v>
      </c>
      <c r="P24" s="1">
        <f>O24*M24</f>
        <v>12.716999999999999</v>
      </c>
      <c r="R24" s="2" t="s">
        <v>68</v>
      </c>
      <c r="S24" s="1">
        <v>170</v>
      </c>
      <c r="T24" s="1" t="s">
        <v>22</v>
      </c>
      <c r="U24" s="1">
        <f t="shared" ref="U24:U27" si="33">_xlfn.XLOOKUP(R24,$A$2:$A$113,$D$2:$D$113)</f>
        <v>4.4999999999999998E-2</v>
      </c>
      <c r="V24" s="1">
        <f t="shared" ref="V24:V27" si="34">U24*S24</f>
        <v>7.6499999999999995</v>
      </c>
      <c r="X24" s="75" t="s">
        <v>449</v>
      </c>
      <c r="Y24" s="76"/>
      <c r="Z24" s="76"/>
      <c r="AA24" s="76"/>
      <c r="AB24" s="77"/>
      <c r="AD24" s="2" t="s">
        <v>34</v>
      </c>
      <c r="AE24" s="1">
        <v>1200</v>
      </c>
      <c r="AF24" s="1" t="s">
        <v>22</v>
      </c>
      <c r="AG24" s="1">
        <f t="shared" ref="AG24:AG27" si="35">_xlfn.XLOOKUP(AD24,$A$2:$A$113,$D$2:$D$113)</f>
        <v>0.188</v>
      </c>
      <c r="AH24" s="1">
        <f t="shared" ref="AH24:AH27" si="36">AG24*AE24</f>
        <v>225.6</v>
      </c>
      <c r="AJ24" s="1" t="s">
        <v>25</v>
      </c>
      <c r="AK24" s="1">
        <v>3200</v>
      </c>
      <c r="AL24" s="1" t="s">
        <v>22</v>
      </c>
      <c r="AM24" s="1">
        <f>_xlfn.XLOOKUP(AJ24,$A$2:$A$113,$D$2:$D$113)</f>
        <v>1.8839999999999999E-2</v>
      </c>
      <c r="AN24" s="1">
        <f>AM24*AK24</f>
        <v>60.287999999999997</v>
      </c>
      <c r="AP24" s="1" t="s">
        <v>25</v>
      </c>
      <c r="AQ24" s="1">
        <v>2400</v>
      </c>
      <c r="AR24" s="1" t="s">
        <v>22</v>
      </c>
      <c r="AS24" s="1">
        <f>_xlfn.XLOOKUP(AP24,$A$2:$A$113,$D$2:$D$113)</f>
        <v>1.8839999999999999E-2</v>
      </c>
      <c r="AT24" s="1">
        <f>AS24*AQ24</f>
        <v>45.216000000000001</v>
      </c>
      <c r="AV24" s="1" t="s">
        <v>25</v>
      </c>
      <c r="AW24" s="1">
        <v>2250</v>
      </c>
      <c r="AX24" s="1" t="s">
        <v>22</v>
      </c>
      <c r="AY24" s="1">
        <f>_xlfn.XLOOKUP(AV24,$A$2:$A$114,$D$2:$D$114)</f>
        <v>1.8839999999999999E-2</v>
      </c>
      <c r="AZ24" s="17">
        <f>AY24*AW24</f>
        <v>42.39</v>
      </c>
    </row>
    <row r="25" spans="1:52" x14ac:dyDescent="0.2">
      <c r="A25" s="1" t="s">
        <v>89</v>
      </c>
      <c r="B25" s="3">
        <v>15.75</v>
      </c>
      <c r="C25" s="5" t="s">
        <v>12</v>
      </c>
      <c r="D25" s="6">
        <f t="shared" si="0"/>
        <v>1.575E-2</v>
      </c>
      <c r="F25" s="92" t="s">
        <v>430</v>
      </c>
      <c r="G25" s="93"/>
      <c r="H25" s="93"/>
      <c r="I25" s="93"/>
      <c r="J25" s="94"/>
      <c r="L25" s="2" t="s">
        <v>29</v>
      </c>
      <c r="M25" s="1">
        <v>67.400000000000006</v>
      </c>
      <c r="N25" s="1" t="s">
        <v>22</v>
      </c>
      <c r="O25" s="1">
        <f t="shared" ref="O25:O28" si="37">_xlfn.XLOOKUP(L25,$A$2:$A$113,$D$2:$D$113)</f>
        <v>8.1000000000000003E-2</v>
      </c>
      <c r="P25" s="1">
        <f t="shared" ref="P25:P28" si="38">O25*M25</f>
        <v>5.4594000000000005</v>
      </c>
      <c r="R25" s="1" t="s">
        <v>26</v>
      </c>
      <c r="S25" s="1">
        <v>280</v>
      </c>
      <c r="T25" s="1" t="s">
        <v>22</v>
      </c>
      <c r="U25" s="1">
        <f t="shared" si="33"/>
        <v>1.315E-2</v>
      </c>
      <c r="V25" s="1">
        <f t="shared" si="34"/>
        <v>3.6819999999999999</v>
      </c>
      <c r="X25" s="1" t="s">
        <v>455</v>
      </c>
      <c r="Y25" s="1">
        <v>1500</v>
      </c>
      <c r="Z25" s="1" t="s">
        <v>22</v>
      </c>
      <c r="AA25" s="1">
        <f>_xlfn.XLOOKUP(X25,$A$2:$A$113,$D$2:$D$113)</f>
        <v>0</v>
      </c>
      <c r="AB25" s="1">
        <f>AA25*Y25</f>
        <v>0</v>
      </c>
      <c r="AD25" s="1" t="s">
        <v>26</v>
      </c>
      <c r="AE25" s="1">
        <v>1000</v>
      </c>
      <c r="AF25" s="1" t="s">
        <v>22</v>
      </c>
      <c r="AG25" s="1">
        <f t="shared" si="35"/>
        <v>1.315E-2</v>
      </c>
      <c r="AH25" s="1">
        <f t="shared" si="36"/>
        <v>13.15</v>
      </c>
      <c r="AJ25" s="2" t="s">
        <v>66</v>
      </c>
      <c r="AK25" s="1">
        <v>2400</v>
      </c>
      <c r="AL25" s="1" t="s">
        <v>22</v>
      </c>
      <c r="AM25" s="1">
        <f t="shared" ref="AM25:AM28" si="39">_xlfn.XLOOKUP(AJ25,$A$2:$A$113,$D$2:$D$113)</f>
        <v>0.35599999999999998</v>
      </c>
      <c r="AN25" s="1">
        <f t="shared" ref="AN25:AN28" si="40">AM25*AK25</f>
        <v>854.4</v>
      </c>
      <c r="AP25" s="2" t="s">
        <v>155</v>
      </c>
      <c r="AQ25" s="1">
        <v>1720</v>
      </c>
      <c r="AR25" s="1" t="s">
        <v>22</v>
      </c>
      <c r="AS25" s="1">
        <f t="shared" ref="AS25:AS28" si="41">_xlfn.XLOOKUP(AP25,$A$2:$A$113,$D$2:$D$113)</f>
        <v>0.15744</v>
      </c>
      <c r="AT25" s="1">
        <f t="shared" ref="AT25:AT28" si="42">AS25*AQ25</f>
        <v>270.79680000000002</v>
      </c>
      <c r="AV25" s="1" t="s">
        <v>29</v>
      </c>
      <c r="AW25" s="1">
        <v>225</v>
      </c>
      <c r="AX25" s="1" t="s">
        <v>22</v>
      </c>
      <c r="AY25" s="1">
        <f t="shared" ref="AY25:AY28" si="43">_xlfn.XLOOKUP(AV25,$A$2:$A$114,$D$2:$D$114)</f>
        <v>8.1000000000000003E-2</v>
      </c>
      <c r="AZ25" s="17">
        <f t="shared" ref="AZ25:AZ28" si="44">AY25*AW25</f>
        <v>18.225000000000001</v>
      </c>
    </row>
    <row r="26" spans="1:52" x14ac:dyDescent="0.2">
      <c r="A26" s="1" t="s">
        <v>91</v>
      </c>
      <c r="B26" s="3">
        <v>49.85</v>
      </c>
      <c r="C26" s="5" t="s">
        <v>12</v>
      </c>
      <c r="D26" s="6">
        <f t="shared" si="0"/>
        <v>4.9849999999999998E-2</v>
      </c>
      <c r="F26" s="1" t="s">
        <v>190</v>
      </c>
      <c r="G26" s="1">
        <v>1000</v>
      </c>
      <c r="H26" s="1" t="s">
        <v>22</v>
      </c>
      <c r="I26" s="1">
        <f>_xlfn.XLOOKUP(F26,$A$2:$A$113,$D$2:$D$113)</f>
        <v>0.09</v>
      </c>
      <c r="J26" s="1">
        <f>I26*G26</f>
        <v>90</v>
      </c>
      <c r="L26" s="1" t="s">
        <v>33</v>
      </c>
      <c r="M26" s="1">
        <v>94.4</v>
      </c>
      <c r="N26" s="1" t="s">
        <v>22</v>
      </c>
      <c r="O26" s="1">
        <f t="shared" si="37"/>
        <v>0.13930000000000001</v>
      </c>
      <c r="P26" s="1">
        <f t="shared" si="38"/>
        <v>13.149920000000002</v>
      </c>
      <c r="R26" s="1" t="s">
        <v>39</v>
      </c>
      <c r="S26" s="1">
        <v>700</v>
      </c>
      <c r="T26" s="1" t="s">
        <v>22</v>
      </c>
      <c r="U26" s="1">
        <f t="shared" si="33"/>
        <v>5.6149999999999999E-2</v>
      </c>
      <c r="V26" s="1">
        <f t="shared" si="34"/>
        <v>39.305</v>
      </c>
      <c r="X26" s="2" t="s">
        <v>26</v>
      </c>
      <c r="Y26" s="1">
        <v>100</v>
      </c>
      <c r="Z26" s="1" t="s">
        <v>22</v>
      </c>
      <c r="AA26" s="1">
        <f t="shared" ref="AA26:AA27" si="45">_xlfn.XLOOKUP(X26,$A$2:$A$113,$D$2:$D$113)</f>
        <v>1.315E-2</v>
      </c>
      <c r="AB26" s="1">
        <f t="shared" ref="AB26:AB27" si="46">AA26*Y26</f>
        <v>1.3149999999999999</v>
      </c>
      <c r="AD26" s="1" t="s">
        <v>33</v>
      </c>
      <c r="AE26" s="1">
        <v>600</v>
      </c>
      <c r="AF26" s="1" t="s">
        <v>22</v>
      </c>
      <c r="AG26" s="1">
        <f t="shared" si="35"/>
        <v>0.13930000000000001</v>
      </c>
      <c r="AH26" s="1">
        <f t="shared" si="36"/>
        <v>83.58</v>
      </c>
      <c r="AJ26" s="1" t="s">
        <v>33</v>
      </c>
      <c r="AK26" s="1">
        <v>506</v>
      </c>
      <c r="AL26" s="1" t="s">
        <v>22</v>
      </c>
      <c r="AM26" s="1">
        <f t="shared" si="39"/>
        <v>0.13930000000000001</v>
      </c>
      <c r="AN26" s="1">
        <f t="shared" si="40"/>
        <v>70.485799999999998</v>
      </c>
      <c r="AP26" s="1" t="s">
        <v>33</v>
      </c>
      <c r="AQ26" s="1">
        <v>500</v>
      </c>
      <c r="AR26" s="1" t="s">
        <v>22</v>
      </c>
      <c r="AS26" s="1">
        <f t="shared" si="41"/>
        <v>0.13930000000000001</v>
      </c>
      <c r="AT26" s="1">
        <f t="shared" si="42"/>
        <v>69.650000000000006</v>
      </c>
      <c r="AV26" s="1" t="s">
        <v>33</v>
      </c>
      <c r="AW26" s="1">
        <v>315</v>
      </c>
      <c r="AX26" s="1" t="s">
        <v>22</v>
      </c>
      <c r="AY26" s="1">
        <f t="shared" si="43"/>
        <v>0.13930000000000001</v>
      </c>
      <c r="AZ26" s="17">
        <f t="shared" si="44"/>
        <v>43.8795</v>
      </c>
    </row>
    <row r="27" spans="1:52" x14ac:dyDescent="0.2">
      <c r="A27" s="1" t="s">
        <v>93</v>
      </c>
      <c r="B27" s="3">
        <v>36.75</v>
      </c>
      <c r="C27" s="5" t="s">
        <v>12</v>
      </c>
      <c r="D27" s="6">
        <f t="shared" si="0"/>
        <v>3.6749999999999998E-2</v>
      </c>
      <c r="F27" s="2" t="s">
        <v>68</v>
      </c>
      <c r="G27" s="1">
        <v>170</v>
      </c>
      <c r="H27" s="1" t="s">
        <v>22</v>
      </c>
      <c r="I27" s="1">
        <f t="shared" ref="I27:I30" si="47">_xlfn.XLOOKUP(F27,$A$2:$A$113,$D$2:$D$113)</f>
        <v>4.4999999999999998E-2</v>
      </c>
      <c r="J27" s="1">
        <f t="shared" ref="J27:J30" si="48">I27*G27</f>
        <v>7.6499999999999995</v>
      </c>
      <c r="L27" s="2" t="s">
        <v>36</v>
      </c>
      <c r="M27" s="1">
        <v>823.4</v>
      </c>
      <c r="N27" s="1" t="s">
        <v>22</v>
      </c>
      <c r="O27" s="1">
        <f t="shared" si="37"/>
        <v>0.32900000000000001</v>
      </c>
      <c r="P27" s="1">
        <f t="shared" si="38"/>
        <v>270.89859999999999</v>
      </c>
      <c r="R27" s="1" t="s">
        <v>33</v>
      </c>
      <c r="S27" s="1">
        <v>225</v>
      </c>
      <c r="T27" s="1" t="s">
        <v>22</v>
      </c>
      <c r="U27" s="1">
        <f t="shared" si="33"/>
        <v>0.13930000000000001</v>
      </c>
      <c r="V27" s="1">
        <f t="shared" si="34"/>
        <v>31.342500000000001</v>
      </c>
      <c r="X27" s="2" t="s">
        <v>36</v>
      </c>
      <c r="Y27" s="1">
        <v>400</v>
      </c>
      <c r="Z27" s="1" t="s">
        <v>22</v>
      </c>
      <c r="AA27" s="1">
        <f t="shared" si="45"/>
        <v>0.32900000000000001</v>
      </c>
      <c r="AB27" s="1">
        <f t="shared" si="46"/>
        <v>131.6</v>
      </c>
      <c r="AD27" s="1" t="s">
        <v>39</v>
      </c>
      <c r="AE27" s="1">
        <v>3200</v>
      </c>
      <c r="AF27" s="1" t="s">
        <v>22</v>
      </c>
      <c r="AG27" s="1">
        <f t="shared" si="35"/>
        <v>5.6149999999999999E-2</v>
      </c>
      <c r="AH27" s="1">
        <f t="shared" si="36"/>
        <v>179.68</v>
      </c>
      <c r="AJ27" s="1" t="s">
        <v>72</v>
      </c>
      <c r="AK27" s="1">
        <v>6</v>
      </c>
      <c r="AL27" s="1" t="s">
        <v>22</v>
      </c>
      <c r="AM27" s="1">
        <f t="shared" si="39"/>
        <v>14.6</v>
      </c>
      <c r="AN27" s="1">
        <f t="shared" si="40"/>
        <v>87.6</v>
      </c>
      <c r="AP27" s="2" t="s">
        <v>66</v>
      </c>
      <c r="AQ27" s="1">
        <v>2740</v>
      </c>
      <c r="AR27" s="1" t="s">
        <v>22</v>
      </c>
      <c r="AS27" s="1">
        <f t="shared" si="41"/>
        <v>0.35599999999999998</v>
      </c>
      <c r="AT27" s="1">
        <f t="shared" si="42"/>
        <v>975.43999999999994</v>
      </c>
      <c r="AV27" s="2" t="s">
        <v>36</v>
      </c>
      <c r="AW27" s="1">
        <v>2745</v>
      </c>
      <c r="AX27" s="1" t="s">
        <v>22</v>
      </c>
      <c r="AY27" s="1">
        <f t="shared" si="43"/>
        <v>0.32900000000000001</v>
      </c>
      <c r="AZ27" s="17">
        <f t="shared" si="44"/>
        <v>903.10500000000002</v>
      </c>
    </row>
    <row r="28" spans="1:52" x14ac:dyDescent="0.2">
      <c r="A28" s="1" t="s">
        <v>95</v>
      </c>
      <c r="B28" s="3">
        <v>98.75</v>
      </c>
      <c r="C28" s="5" t="s">
        <v>12</v>
      </c>
      <c r="D28" s="6">
        <f t="shared" si="0"/>
        <v>9.8750000000000004E-2</v>
      </c>
      <c r="F28" s="1" t="s">
        <v>26</v>
      </c>
      <c r="G28" s="1">
        <v>280</v>
      </c>
      <c r="H28" s="1" t="s">
        <v>22</v>
      </c>
      <c r="I28" s="1">
        <f t="shared" si="47"/>
        <v>1.315E-2</v>
      </c>
      <c r="J28" s="1">
        <f t="shared" si="48"/>
        <v>3.6819999999999999</v>
      </c>
      <c r="L28" s="1" t="s">
        <v>39</v>
      </c>
      <c r="M28" s="1">
        <v>1350</v>
      </c>
      <c r="N28" s="1" t="s">
        <v>22</v>
      </c>
      <c r="O28" s="1">
        <f t="shared" si="37"/>
        <v>5.6149999999999999E-2</v>
      </c>
      <c r="P28" s="1">
        <f t="shared" si="38"/>
        <v>75.802499999999995</v>
      </c>
      <c r="R28" s="1" t="s">
        <v>41</v>
      </c>
      <c r="S28" s="1">
        <f>SUM(S23:S27)</f>
        <v>2375</v>
      </c>
      <c r="T28" s="1" t="s">
        <v>22</v>
      </c>
      <c r="U28" s="1"/>
      <c r="V28" s="1">
        <f>SUM(V23:V27)</f>
        <v>214.9795</v>
      </c>
      <c r="X28" s="1" t="s">
        <v>41</v>
      </c>
      <c r="Y28" s="1">
        <f>SUM(Y25:Y27)</f>
        <v>2000</v>
      </c>
      <c r="Z28" s="1" t="s">
        <v>22</v>
      </c>
      <c r="AA28" s="1"/>
      <c r="AB28" s="1">
        <f>SUM(AB25:AB27)</f>
        <v>132.91499999999999</v>
      </c>
      <c r="AD28" s="1" t="s">
        <v>41</v>
      </c>
      <c r="AE28" s="1">
        <f>SUM(AE23:AE27)</f>
        <v>9000</v>
      </c>
      <c r="AF28" s="1" t="s">
        <v>22</v>
      </c>
      <c r="AG28" s="1"/>
      <c r="AH28" s="1">
        <f>SUM(AH23:AH27)</f>
        <v>558.53</v>
      </c>
      <c r="AJ28" s="1" t="s">
        <v>39</v>
      </c>
      <c r="AK28" s="1">
        <v>6200</v>
      </c>
      <c r="AL28" s="1" t="s">
        <v>22</v>
      </c>
      <c r="AM28" s="1">
        <f t="shared" si="39"/>
        <v>5.6149999999999999E-2</v>
      </c>
      <c r="AN28" s="1">
        <f t="shared" si="40"/>
        <v>348.13</v>
      </c>
      <c r="AP28" s="1" t="s">
        <v>39</v>
      </c>
      <c r="AQ28" s="1">
        <v>6800</v>
      </c>
      <c r="AR28" s="1" t="s">
        <v>22</v>
      </c>
      <c r="AS28" s="1">
        <f t="shared" si="41"/>
        <v>5.6149999999999999E-2</v>
      </c>
      <c r="AT28" s="1">
        <f t="shared" si="42"/>
        <v>381.82</v>
      </c>
      <c r="AV28" s="1" t="s">
        <v>39</v>
      </c>
      <c r="AW28" s="1">
        <v>4500</v>
      </c>
      <c r="AX28" s="1" t="s">
        <v>22</v>
      </c>
      <c r="AY28" s="1">
        <f t="shared" si="43"/>
        <v>5.6149999999999999E-2</v>
      </c>
      <c r="AZ28" s="17">
        <f t="shared" si="44"/>
        <v>252.67499999999998</v>
      </c>
    </row>
    <row r="29" spans="1:52" x14ac:dyDescent="0.2">
      <c r="A29" s="1" t="s">
        <v>96</v>
      </c>
      <c r="B29" s="3">
        <v>498</v>
      </c>
      <c r="C29" s="5" t="s">
        <v>97</v>
      </c>
      <c r="D29" s="7">
        <f t="shared" si="0"/>
        <v>0.498</v>
      </c>
      <c r="F29" s="1" t="s">
        <v>39</v>
      </c>
      <c r="G29" s="1">
        <v>700</v>
      </c>
      <c r="H29" s="1" t="s">
        <v>22</v>
      </c>
      <c r="I29" s="1">
        <f t="shared" si="47"/>
        <v>5.6149999999999999E-2</v>
      </c>
      <c r="J29" s="1">
        <f t="shared" si="48"/>
        <v>39.305</v>
      </c>
      <c r="L29" s="1" t="s">
        <v>41</v>
      </c>
      <c r="M29" s="1">
        <f>SUM(M24:M28)</f>
        <v>3010.2</v>
      </c>
      <c r="N29" s="1" t="s">
        <v>22</v>
      </c>
      <c r="O29" s="1"/>
      <c r="P29" s="1">
        <f>SUM(P24:P28)</f>
        <v>378.02742000000001</v>
      </c>
      <c r="R29" s="1" t="s">
        <v>43</v>
      </c>
      <c r="S29" s="1"/>
      <c r="T29" s="1"/>
      <c r="U29" s="1"/>
      <c r="V29" s="1">
        <f>V28/S28</f>
        <v>9.051768421052632E-2</v>
      </c>
      <c r="X29" s="1" t="s">
        <v>43</v>
      </c>
      <c r="Y29" s="1"/>
      <c r="Z29" s="1"/>
      <c r="AA29" s="1"/>
      <c r="AB29" s="1">
        <f>AB28/Y28</f>
        <v>6.6457500000000003E-2</v>
      </c>
      <c r="AD29" s="1" t="s">
        <v>43</v>
      </c>
      <c r="AE29" s="1"/>
      <c r="AF29" s="1"/>
      <c r="AG29" s="1"/>
      <c r="AH29" s="1">
        <f>AH28/AE28</f>
        <v>6.2058888888888886E-2</v>
      </c>
      <c r="AJ29" s="1" t="s">
        <v>41</v>
      </c>
      <c r="AK29" s="1">
        <f>SUM(AK24:AK28)</f>
        <v>12312</v>
      </c>
      <c r="AL29" s="1" t="s">
        <v>22</v>
      </c>
      <c r="AM29" s="1"/>
      <c r="AN29" s="1">
        <f>SUM(AN24:AN28)</f>
        <v>1420.9038</v>
      </c>
      <c r="AP29" s="1" t="s">
        <v>41</v>
      </c>
      <c r="AQ29" s="1">
        <f>SUM(AQ24:AQ28)</f>
        <v>14160</v>
      </c>
      <c r="AR29" s="1" t="s">
        <v>22</v>
      </c>
      <c r="AS29" s="1"/>
      <c r="AT29" s="1">
        <f>SUM(AT24:AT28)</f>
        <v>1742.9228000000001</v>
      </c>
      <c r="AV29" s="8" t="s">
        <v>41</v>
      </c>
      <c r="AW29" s="8">
        <f>SUM(AW24:AW28)</f>
        <v>10035</v>
      </c>
      <c r="AX29" s="8" t="s">
        <v>22</v>
      </c>
      <c r="AY29" s="8"/>
      <c r="AZ29" s="18">
        <f>SUM(AZ24:AZ28)</f>
        <v>1260.2745</v>
      </c>
    </row>
    <row r="30" spans="1:52" x14ac:dyDescent="0.2">
      <c r="A30" s="1" t="s">
        <v>38</v>
      </c>
      <c r="B30" s="3">
        <v>385</v>
      </c>
      <c r="C30" s="5" t="s">
        <v>12</v>
      </c>
      <c r="D30" s="6">
        <f t="shared" si="0"/>
        <v>0.38500000000000001</v>
      </c>
      <c r="F30" s="1" t="s">
        <v>33</v>
      </c>
      <c r="G30" s="1">
        <v>225</v>
      </c>
      <c r="H30" s="1" t="s">
        <v>22</v>
      </c>
      <c r="I30" s="1">
        <f t="shared" si="47"/>
        <v>0.13930000000000001</v>
      </c>
      <c r="J30" s="1">
        <f t="shared" si="48"/>
        <v>31.342500000000001</v>
      </c>
      <c r="L30" s="1" t="s">
        <v>43</v>
      </c>
      <c r="M30" s="1"/>
      <c r="N30" s="1"/>
      <c r="O30" s="1"/>
      <c r="P30" s="1">
        <f>P29/M29</f>
        <v>0.12558216065377717</v>
      </c>
      <c r="AJ30" s="1" t="s">
        <v>43</v>
      </c>
      <c r="AK30" s="1"/>
      <c r="AL30" s="1"/>
      <c r="AM30" s="1"/>
      <c r="AN30" s="1">
        <f>AN29/AK29</f>
        <v>0.11540804093567252</v>
      </c>
      <c r="AP30" s="1" t="s">
        <v>43</v>
      </c>
      <c r="AQ30" s="1"/>
      <c r="AR30" s="1"/>
      <c r="AS30" s="1"/>
      <c r="AT30" s="1">
        <f>AT29/AQ29</f>
        <v>0.12308776836158193</v>
      </c>
      <c r="AV30" s="1" t="s">
        <v>43</v>
      </c>
      <c r="AW30" s="1"/>
      <c r="AX30" s="1"/>
      <c r="AY30" s="1"/>
      <c r="AZ30" s="20">
        <f>AZ29/AW29</f>
        <v>0.12558789237668161</v>
      </c>
    </row>
    <row r="31" spans="1:52" x14ac:dyDescent="0.2">
      <c r="A31" s="1" t="s">
        <v>100</v>
      </c>
      <c r="B31" s="3">
        <v>247.35</v>
      </c>
      <c r="C31" s="5" t="s">
        <v>12</v>
      </c>
      <c r="D31" s="6">
        <f t="shared" si="0"/>
        <v>0.24734999999999999</v>
      </c>
      <c r="F31" s="1" t="s">
        <v>41</v>
      </c>
      <c r="G31" s="1">
        <f>SUM(G26:G30)</f>
        <v>2375</v>
      </c>
      <c r="H31" s="1" t="s">
        <v>22</v>
      </c>
      <c r="I31" s="1"/>
      <c r="J31" s="1">
        <f>SUM(J26:J30)</f>
        <v>171.9795</v>
      </c>
      <c r="R31" s="82" t="s">
        <v>450</v>
      </c>
      <c r="S31" s="83"/>
      <c r="T31" s="83"/>
      <c r="U31" s="83"/>
      <c r="V31" s="84"/>
      <c r="X31" s="75" t="s">
        <v>451</v>
      </c>
      <c r="Y31" s="76"/>
      <c r="Z31" s="76"/>
      <c r="AA31" s="76"/>
      <c r="AB31" s="77"/>
      <c r="AD31" s="79" t="s">
        <v>453</v>
      </c>
      <c r="AE31" s="80"/>
      <c r="AF31" s="80"/>
      <c r="AG31" s="80"/>
      <c r="AH31" s="81"/>
    </row>
    <row r="32" spans="1:52" x14ac:dyDescent="0.2">
      <c r="A32" s="1" t="s">
        <v>104</v>
      </c>
      <c r="B32" s="3">
        <v>298.3</v>
      </c>
      <c r="C32" s="5" t="s">
        <v>12</v>
      </c>
      <c r="D32" s="6">
        <f t="shared" si="0"/>
        <v>0.29830000000000001</v>
      </c>
      <c r="F32" s="1" t="s">
        <v>43</v>
      </c>
      <c r="G32" s="1"/>
      <c r="H32" s="1"/>
      <c r="I32" s="1"/>
      <c r="J32" s="1">
        <f>J31/G31</f>
        <v>7.2412421052631584E-2</v>
      </c>
      <c r="L32" s="89" t="s">
        <v>441</v>
      </c>
      <c r="M32" s="90"/>
      <c r="N32" s="90"/>
      <c r="O32" s="90"/>
      <c r="P32" s="91"/>
      <c r="R32" s="1" t="s">
        <v>442</v>
      </c>
      <c r="S32" s="1">
        <v>1200</v>
      </c>
      <c r="T32" s="1" t="s">
        <v>22</v>
      </c>
      <c r="U32" s="1">
        <v>5.6000000000000001E-2</v>
      </c>
      <c r="V32" s="1">
        <f>U32*S32</f>
        <v>67.2</v>
      </c>
      <c r="X32" s="1" t="s">
        <v>447</v>
      </c>
      <c r="Y32" s="1">
        <v>1200</v>
      </c>
      <c r="Z32" s="1" t="s">
        <v>22</v>
      </c>
      <c r="AA32" s="1">
        <v>0.03</v>
      </c>
      <c r="AB32" s="1">
        <f>AA32*Y32</f>
        <v>36</v>
      </c>
      <c r="AD32" s="1" t="s">
        <v>442</v>
      </c>
      <c r="AE32" s="1">
        <v>1200</v>
      </c>
      <c r="AF32" s="1" t="s">
        <v>22</v>
      </c>
      <c r="AG32" s="1">
        <v>5.6000000000000001E-2</v>
      </c>
      <c r="AH32" s="1">
        <f>AG32*AE32</f>
        <v>67.2</v>
      </c>
      <c r="AJ32" s="92" t="s">
        <v>160</v>
      </c>
      <c r="AK32" s="93"/>
      <c r="AL32" s="93"/>
      <c r="AM32" s="93"/>
      <c r="AN32" s="94"/>
      <c r="AP32" s="89" t="s">
        <v>468</v>
      </c>
      <c r="AQ32" s="90"/>
      <c r="AR32" s="90"/>
      <c r="AS32" s="90"/>
      <c r="AT32" s="91"/>
    </row>
    <row r="33" spans="1:52" x14ac:dyDescent="0.2">
      <c r="A33" s="1" t="s">
        <v>48</v>
      </c>
      <c r="B33" s="3">
        <v>281.25</v>
      </c>
      <c r="C33" s="5" t="s">
        <v>12</v>
      </c>
      <c r="D33" s="6">
        <f t="shared" si="0"/>
        <v>0.28125</v>
      </c>
      <c r="L33" s="1" t="s">
        <v>442</v>
      </c>
      <c r="M33" s="1">
        <v>1200</v>
      </c>
      <c r="N33" s="1" t="s">
        <v>22</v>
      </c>
      <c r="O33" s="1">
        <v>5.6000000000000001E-2</v>
      </c>
      <c r="P33" s="1">
        <f>O33*M33</f>
        <v>67.2</v>
      </c>
      <c r="R33" s="1" t="s">
        <v>444</v>
      </c>
      <c r="S33" s="1">
        <v>2500</v>
      </c>
      <c r="T33" s="1" t="s">
        <v>22</v>
      </c>
      <c r="U33" s="1">
        <v>8.8999999999999996E-2</v>
      </c>
      <c r="V33" s="1">
        <f t="shared" ref="V33:V34" si="49">U33*S33</f>
        <v>222.5</v>
      </c>
      <c r="X33" s="1" t="s">
        <v>456</v>
      </c>
      <c r="Y33" s="1">
        <v>2500</v>
      </c>
      <c r="Z33" s="1" t="s">
        <v>22</v>
      </c>
      <c r="AA33" s="1">
        <v>0.10199999999999999</v>
      </c>
      <c r="AB33" s="1">
        <f t="shared" ref="AB33:AB34" si="50">AA33*Y33</f>
        <v>254.99999999999997</v>
      </c>
      <c r="AD33" s="1" t="s">
        <v>458</v>
      </c>
      <c r="AE33" s="1">
        <v>2500</v>
      </c>
      <c r="AF33" s="1" t="s">
        <v>22</v>
      </c>
      <c r="AG33" s="1">
        <v>7.2999999999999995E-2</v>
      </c>
      <c r="AH33" s="1">
        <f t="shared" ref="AH33:AH34" si="51">AG33*AE33</f>
        <v>182.5</v>
      </c>
      <c r="AJ33" s="1" t="s">
        <v>25</v>
      </c>
      <c r="AK33" s="1">
        <v>1000</v>
      </c>
      <c r="AL33" s="1" t="s">
        <v>22</v>
      </c>
      <c r="AM33" s="1">
        <f>_xlfn.XLOOKUP(AJ33,$A$2:$A$113,$D$2:$D$113)</f>
        <v>1.8839999999999999E-2</v>
      </c>
      <c r="AN33" s="17">
        <f>AM33*AK33</f>
        <v>18.84</v>
      </c>
      <c r="AP33" s="1" t="s">
        <v>24</v>
      </c>
      <c r="AQ33" s="1">
        <v>1000</v>
      </c>
      <c r="AR33" s="1" t="s">
        <v>22</v>
      </c>
      <c r="AS33" s="1">
        <f>_xlfn.XLOOKUP(AP33,$A$2:$A$113,$D$2:$D$113)</f>
        <v>7.6060000000000003E-2</v>
      </c>
      <c r="AT33" s="17">
        <f>AS33*AQ33</f>
        <v>76.06</v>
      </c>
      <c r="AV33" s="85" t="s">
        <v>124</v>
      </c>
      <c r="AW33" s="85"/>
      <c r="AX33" s="85"/>
      <c r="AY33" s="85"/>
      <c r="AZ33" s="85"/>
    </row>
    <row r="34" spans="1:52" x14ac:dyDescent="0.2">
      <c r="A34" s="1" t="s">
        <v>105</v>
      </c>
      <c r="B34" s="3">
        <v>299.16000000000003</v>
      </c>
      <c r="C34" s="5" t="s">
        <v>12</v>
      </c>
      <c r="D34" s="6">
        <f t="shared" si="0"/>
        <v>0.29916000000000004</v>
      </c>
      <c r="F34" s="92" t="s">
        <v>431</v>
      </c>
      <c r="G34" s="93"/>
      <c r="H34" s="93"/>
      <c r="I34" s="93"/>
      <c r="J34" s="94"/>
      <c r="L34" s="1" t="s">
        <v>440</v>
      </c>
      <c r="M34" s="1">
        <v>2500</v>
      </c>
      <c r="N34" s="1" t="s">
        <v>22</v>
      </c>
      <c r="O34" s="1">
        <v>9.0999999999999998E-2</v>
      </c>
      <c r="P34" s="1">
        <f t="shared" ref="P34:P35" si="52">O34*M34</f>
        <v>227.5</v>
      </c>
      <c r="R34" s="1" t="s">
        <v>445</v>
      </c>
      <c r="S34" s="1">
        <v>1500</v>
      </c>
      <c r="T34" s="1" t="s">
        <v>22</v>
      </c>
      <c r="U34" s="1">
        <v>9.0520000000000003E-2</v>
      </c>
      <c r="V34" s="1">
        <f t="shared" si="49"/>
        <v>135.78</v>
      </c>
      <c r="X34" s="1" t="s">
        <v>457</v>
      </c>
      <c r="Y34" s="1">
        <v>1500</v>
      </c>
      <c r="Z34" s="1" t="s">
        <v>22</v>
      </c>
      <c r="AA34" s="1">
        <v>6.6460000000000005E-2</v>
      </c>
      <c r="AB34" s="1">
        <f t="shared" si="50"/>
        <v>99.690000000000012</v>
      </c>
      <c r="AD34" s="1" t="s">
        <v>465</v>
      </c>
      <c r="AE34" s="1">
        <v>1500</v>
      </c>
      <c r="AF34" s="1" t="s">
        <v>22</v>
      </c>
      <c r="AG34" s="1">
        <v>6.2050000000000001E-2</v>
      </c>
      <c r="AH34" s="1">
        <f t="shared" si="51"/>
        <v>93.075000000000003</v>
      </c>
      <c r="AJ34" s="1" t="s">
        <v>29</v>
      </c>
      <c r="AK34" s="1">
        <v>50</v>
      </c>
      <c r="AL34" s="1" t="s">
        <v>22</v>
      </c>
      <c r="AM34" s="1">
        <f t="shared" ref="AM34:AM37" si="53">_xlfn.XLOOKUP(AJ34,$A$2:$A$113,$D$2:$D$113)</f>
        <v>8.1000000000000003E-2</v>
      </c>
      <c r="AN34" s="17">
        <f t="shared" ref="AN34:AN37" si="54">AM34*AK34</f>
        <v>4.05</v>
      </c>
      <c r="AP34" s="1" t="s">
        <v>26</v>
      </c>
      <c r="AQ34" s="1">
        <v>1000</v>
      </c>
      <c r="AR34" s="1" t="s">
        <v>22</v>
      </c>
      <c r="AS34" s="1">
        <f t="shared" ref="AS34:AS36" si="55">_xlfn.XLOOKUP(AP34,$A$2:$A$113,$D$2:$D$113)</f>
        <v>1.315E-2</v>
      </c>
      <c r="AT34" s="17">
        <f t="shared" ref="AT34:AT36" si="56">AS34*AQ34</f>
        <v>13.15</v>
      </c>
      <c r="AV34" s="1" t="s">
        <v>25</v>
      </c>
      <c r="AW34" s="1">
        <v>1000</v>
      </c>
      <c r="AX34" s="1" t="s">
        <v>22</v>
      </c>
      <c r="AY34" s="1">
        <f>_xlfn.XLOOKUP(AV34,$A$2:$A$114,$D$2:$D$114)</f>
        <v>1.8839999999999999E-2</v>
      </c>
      <c r="AZ34" s="17">
        <f>AY34*AW34</f>
        <v>18.84</v>
      </c>
    </row>
    <row r="35" spans="1:52" ht="27.75" x14ac:dyDescent="0.2">
      <c r="A35" s="2" t="s">
        <v>106</v>
      </c>
      <c r="B35" s="3">
        <v>432.5</v>
      </c>
      <c r="C35" s="5" t="s">
        <v>12</v>
      </c>
      <c r="D35" s="6">
        <f t="shared" si="0"/>
        <v>0.4325</v>
      </c>
      <c r="F35" s="1" t="s">
        <v>432</v>
      </c>
      <c r="G35" s="1">
        <v>1200</v>
      </c>
      <c r="H35" s="1" t="s">
        <v>22</v>
      </c>
      <c r="I35" s="1">
        <v>4.2999999999999997E-2</v>
      </c>
      <c r="J35" s="1">
        <f>I35*G35</f>
        <v>51.599999999999994</v>
      </c>
      <c r="L35" s="1" t="s">
        <v>154</v>
      </c>
      <c r="M35" s="1">
        <v>1500</v>
      </c>
      <c r="N35" s="1" t="s">
        <v>22</v>
      </c>
      <c r="O35" s="1">
        <v>0.12558</v>
      </c>
      <c r="P35" s="1">
        <f t="shared" si="52"/>
        <v>188.37</v>
      </c>
      <c r="R35" s="1" t="s">
        <v>436</v>
      </c>
      <c r="S35" s="1"/>
      <c r="T35" s="1"/>
      <c r="U35" s="1"/>
      <c r="V35" s="21">
        <f>SUM(V32:V34)</f>
        <v>425.48</v>
      </c>
      <c r="X35" s="1" t="s">
        <v>436</v>
      </c>
      <c r="Y35" s="1"/>
      <c r="Z35" s="1"/>
      <c r="AA35" s="1"/>
      <c r="AB35" s="21">
        <f>SUM(AB32:AB34)</f>
        <v>390.69</v>
      </c>
      <c r="AD35" s="1" t="s">
        <v>436</v>
      </c>
      <c r="AE35" s="1"/>
      <c r="AF35" s="1"/>
      <c r="AG35" s="1"/>
      <c r="AH35" s="21">
        <f>SUM(AH32:AH34)</f>
        <v>342.77499999999998</v>
      </c>
      <c r="AJ35" s="1" t="s">
        <v>33</v>
      </c>
      <c r="AK35" s="1">
        <v>150</v>
      </c>
      <c r="AL35" s="1" t="s">
        <v>22</v>
      </c>
      <c r="AM35" s="1">
        <f t="shared" si="53"/>
        <v>0.13930000000000001</v>
      </c>
      <c r="AN35" s="17">
        <f t="shared" si="54"/>
        <v>20.895</v>
      </c>
      <c r="AP35" s="1" t="s">
        <v>35</v>
      </c>
      <c r="AQ35" s="1">
        <v>1000</v>
      </c>
      <c r="AR35" s="1" t="s">
        <v>22</v>
      </c>
      <c r="AS35" s="1">
        <f t="shared" si="55"/>
        <v>4.9500000000000002E-2</v>
      </c>
      <c r="AT35" s="17">
        <f t="shared" si="56"/>
        <v>49.5</v>
      </c>
      <c r="AV35" s="1" t="s">
        <v>29</v>
      </c>
      <c r="AW35" s="1">
        <v>50</v>
      </c>
      <c r="AX35" s="1" t="s">
        <v>22</v>
      </c>
      <c r="AY35" s="1">
        <f t="shared" ref="AY35:AY38" si="57">_xlfn.XLOOKUP(AV35,$A$2:$A$114,$D$2:$D$114)</f>
        <v>8.1000000000000003E-2</v>
      </c>
      <c r="AZ35" s="17">
        <f t="shared" ref="AZ35:AZ38" si="58">AY35*AW35</f>
        <v>4.05</v>
      </c>
    </row>
    <row r="36" spans="1:52" x14ac:dyDescent="0.2">
      <c r="A36" s="2" t="s">
        <v>107</v>
      </c>
      <c r="B36" s="3">
        <v>317</v>
      </c>
      <c r="C36" s="5" t="s">
        <v>12</v>
      </c>
      <c r="D36" s="6">
        <f t="shared" si="0"/>
        <v>0.317</v>
      </c>
      <c r="F36" s="1" t="s">
        <v>433</v>
      </c>
      <c r="G36" s="1">
        <v>2500</v>
      </c>
      <c r="H36" s="1" t="s">
        <v>22</v>
      </c>
      <c r="I36" s="1">
        <v>8.6999999999999994E-2</v>
      </c>
      <c r="J36" s="1">
        <f t="shared" ref="J36:J37" si="59">I36*G36</f>
        <v>217.49999999999997</v>
      </c>
      <c r="L36" s="1" t="s">
        <v>436</v>
      </c>
      <c r="M36" s="1"/>
      <c r="N36" s="1"/>
      <c r="O36" s="1"/>
      <c r="P36" s="21">
        <f>SUM(P33:P35)</f>
        <v>483.07</v>
      </c>
      <c r="AJ36" s="2" t="s">
        <v>66</v>
      </c>
      <c r="AK36" s="1">
        <v>1750</v>
      </c>
      <c r="AL36" s="1" t="s">
        <v>22</v>
      </c>
      <c r="AM36" s="1">
        <f t="shared" si="53"/>
        <v>0.35599999999999998</v>
      </c>
      <c r="AN36" s="17">
        <f t="shared" si="54"/>
        <v>623</v>
      </c>
      <c r="AP36" s="2" t="s">
        <v>66</v>
      </c>
      <c r="AQ36" s="1">
        <v>1200</v>
      </c>
      <c r="AR36" s="1" t="s">
        <v>22</v>
      </c>
      <c r="AS36" s="1">
        <f t="shared" si="55"/>
        <v>0.35599999999999998</v>
      </c>
      <c r="AT36" s="17">
        <f t="shared" si="56"/>
        <v>427.2</v>
      </c>
      <c r="AV36" s="1" t="s">
        <v>33</v>
      </c>
      <c r="AW36" s="1">
        <v>150</v>
      </c>
      <c r="AX36" s="1" t="s">
        <v>22</v>
      </c>
      <c r="AY36" s="1">
        <f t="shared" si="57"/>
        <v>0.13930000000000001</v>
      </c>
      <c r="AZ36" s="17">
        <f t="shared" si="58"/>
        <v>20.895</v>
      </c>
    </row>
    <row r="37" spans="1:52" x14ac:dyDescent="0.2">
      <c r="A37" s="2" t="s">
        <v>66</v>
      </c>
      <c r="B37" s="3">
        <v>356</v>
      </c>
      <c r="C37" s="5" t="s">
        <v>12</v>
      </c>
      <c r="D37" s="6">
        <f t="shared" si="0"/>
        <v>0.35599999999999998</v>
      </c>
      <c r="F37" s="1" t="s">
        <v>434</v>
      </c>
      <c r="G37" s="1">
        <v>1500</v>
      </c>
      <c r="H37" s="1" t="s">
        <v>22</v>
      </c>
      <c r="I37" s="1">
        <v>7.2410000000000002E-2</v>
      </c>
      <c r="J37" s="1">
        <f t="shared" si="59"/>
        <v>108.61500000000001</v>
      </c>
      <c r="R37" s="37" t="s">
        <v>435</v>
      </c>
      <c r="S37" s="37"/>
      <c r="T37" s="37"/>
      <c r="U37" s="37"/>
      <c r="V37" s="38">
        <f>(V35*3)/4</f>
        <v>319.11</v>
      </c>
      <c r="X37" s="37" t="s">
        <v>435</v>
      </c>
      <c r="Y37" s="37"/>
      <c r="Z37" s="37"/>
      <c r="AA37" s="37"/>
      <c r="AB37" s="38">
        <f>(AB35*3)/4</f>
        <v>293.01749999999998</v>
      </c>
      <c r="AD37" s="37" t="s">
        <v>435</v>
      </c>
      <c r="AE37" s="37"/>
      <c r="AF37" s="37"/>
      <c r="AG37" s="37"/>
      <c r="AH37" s="38">
        <f>(AH35*3)/4</f>
        <v>257.08124999999995</v>
      </c>
      <c r="AJ37" s="1" t="s">
        <v>39</v>
      </c>
      <c r="AK37" s="1">
        <v>2000</v>
      </c>
      <c r="AL37" s="1" t="s">
        <v>22</v>
      </c>
      <c r="AM37" s="1">
        <f t="shared" si="53"/>
        <v>5.6149999999999999E-2</v>
      </c>
      <c r="AN37" s="17">
        <f t="shared" si="54"/>
        <v>112.3</v>
      </c>
      <c r="AP37" s="8" t="s">
        <v>41</v>
      </c>
      <c r="AQ37" s="8">
        <f>SUM(AQ33:AQ36)</f>
        <v>4200</v>
      </c>
      <c r="AR37" s="8" t="s">
        <v>22</v>
      </c>
      <c r="AS37" s="8"/>
      <c r="AT37" s="18">
        <f>SUM(AT33:AT36)</f>
        <v>565.91</v>
      </c>
      <c r="AV37" s="2" t="s">
        <v>111</v>
      </c>
      <c r="AW37" s="1">
        <v>1750</v>
      </c>
      <c r="AX37" s="1" t="s">
        <v>22</v>
      </c>
      <c r="AY37" s="1">
        <f t="shared" si="57"/>
        <v>0.32980000000000004</v>
      </c>
      <c r="AZ37" s="17">
        <f t="shared" si="58"/>
        <v>577.15000000000009</v>
      </c>
    </row>
    <row r="38" spans="1:52" x14ac:dyDescent="0.2">
      <c r="A38" s="2" t="s">
        <v>36</v>
      </c>
      <c r="B38" s="3">
        <v>329</v>
      </c>
      <c r="C38" s="5" t="s">
        <v>12</v>
      </c>
      <c r="D38" s="6">
        <f t="shared" si="0"/>
        <v>0.32900000000000001</v>
      </c>
      <c r="F38" s="1" t="s">
        <v>436</v>
      </c>
      <c r="G38" s="1"/>
      <c r="H38" s="1"/>
      <c r="I38" s="1"/>
      <c r="J38" s="21">
        <f>SUM(J35:J37)</f>
        <v>377.71499999999997</v>
      </c>
      <c r="L38" s="37" t="s">
        <v>435</v>
      </c>
      <c r="M38" s="37"/>
      <c r="N38" s="37"/>
      <c r="O38" s="37"/>
      <c r="P38" s="38">
        <f>(P36*3)/4</f>
        <v>362.30250000000001</v>
      </c>
      <c r="AJ38" s="8" t="s">
        <v>41</v>
      </c>
      <c r="AK38" s="8">
        <f>SUM(AK33:AK37)</f>
        <v>4950</v>
      </c>
      <c r="AL38" s="8" t="s">
        <v>22</v>
      </c>
      <c r="AM38" s="8"/>
      <c r="AN38" s="18">
        <f>SUM(AN33:AN37)</f>
        <v>779.08499999999992</v>
      </c>
      <c r="AP38" s="1" t="s">
        <v>43</v>
      </c>
      <c r="AQ38" s="1"/>
      <c r="AR38" s="1"/>
      <c r="AS38" s="1"/>
      <c r="AT38" s="20">
        <f>AT37/AQ37</f>
        <v>0.13474047619047619</v>
      </c>
      <c r="AV38" s="1" t="s">
        <v>39</v>
      </c>
      <c r="AW38" s="1">
        <v>2000</v>
      </c>
      <c r="AX38" s="1" t="s">
        <v>22</v>
      </c>
      <c r="AY38" s="1">
        <f t="shared" si="57"/>
        <v>5.6149999999999999E-2</v>
      </c>
      <c r="AZ38" s="17">
        <f t="shared" si="58"/>
        <v>112.3</v>
      </c>
    </row>
    <row r="39" spans="1:52" x14ac:dyDescent="0.2">
      <c r="A39" s="2" t="s">
        <v>111</v>
      </c>
      <c r="B39" s="3">
        <v>329.8</v>
      </c>
      <c r="C39" s="5" t="s">
        <v>12</v>
      </c>
      <c r="D39" s="6">
        <f t="shared" si="0"/>
        <v>0.32980000000000004</v>
      </c>
      <c r="R39" s="85" t="s">
        <v>127</v>
      </c>
      <c r="S39" s="85"/>
      <c r="T39" s="85"/>
      <c r="U39" s="85"/>
      <c r="V39" s="85"/>
      <c r="X39" s="62" t="s">
        <v>127</v>
      </c>
      <c r="Y39" s="62"/>
      <c r="Z39" s="62"/>
      <c r="AA39" s="62"/>
      <c r="AB39" s="62"/>
      <c r="AD39" s="100" t="s">
        <v>127</v>
      </c>
      <c r="AE39" s="100"/>
      <c r="AF39" s="100"/>
      <c r="AG39" s="100"/>
      <c r="AH39" s="100"/>
      <c r="AJ39" s="1" t="s">
        <v>43</v>
      </c>
      <c r="AK39" s="1"/>
      <c r="AL39" s="1"/>
      <c r="AM39" s="1"/>
      <c r="AN39" s="20">
        <f>AN38/AK38</f>
        <v>0.15739090909090908</v>
      </c>
      <c r="AV39" s="8" t="s">
        <v>41</v>
      </c>
      <c r="AW39" s="8">
        <f>SUM(AW34:AW38)</f>
        <v>4950</v>
      </c>
      <c r="AX39" s="8" t="s">
        <v>22</v>
      </c>
      <c r="AY39" s="8"/>
      <c r="AZ39" s="18">
        <f>SUM(AZ34:AZ38)</f>
        <v>733.23500000000001</v>
      </c>
    </row>
    <row r="40" spans="1:52" x14ac:dyDescent="0.2">
      <c r="A40" s="1" t="s">
        <v>113</v>
      </c>
      <c r="B40" s="3">
        <v>445.5</v>
      </c>
      <c r="C40" s="5" t="s">
        <v>12</v>
      </c>
      <c r="D40" s="6">
        <f t="shared" si="0"/>
        <v>0.44550000000000001</v>
      </c>
      <c r="F40" s="37" t="s">
        <v>435</v>
      </c>
      <c r="G40" s="37"/>
      <c r="H40" s="37"/>
      <c r="I40" s="37"/>
      <c r="J40" s="38">
        <f>(J38*3)/4</f>
        <v>283.28625</v>
      </c>
      <c r="L40" s="63" t="s">
        <v>127</v>
      </c>
      <c r="M40" s="63"/>
      <c r="N40" s="63"/>
      <c r="O40" s="63"/>
      <c r="P40" s="63"/>
      <c r="R40" s="1" t="s">
        <v>442</v>
      </c>
      <c r="S40" s="1">
        <v>45</v>
      </c>
      <c r="T40" s="1" t="s">
        <v>129</v>
      </c>
      <c r="U40" s="55" t="s">
        <v>810</v>
      </c>
      <c r="V40" s="56"/>
      <c r="X40" s="1" t="s">
        <v>813</v>
      </c>
      <c r="Y40" s="1">
        <v>85</v>
      </c>
      <c r="Z40" s="1" t="s">
        <v>129</v>
      </c>
      <c r="AA40" s="55" t="s">
        <v>686</v>
      </c>
      <c r="AB40" s="56"/>
      <c r="AD40" s="1" t="s">
        <v>562</v>
      </c>
      <c r="AE40" s="1">
        <v>50</v>
      </c>
      <c r="AF40" s="1" t="s">
        <v>129</v>
      </c>
      <c r="AG40" s="55" t="s">
        <v>810</v>
      </c>
      <c r="AH40" s="56"/>
      <c r="AP40" s="89" t="s">
        <v>469</v>
      </c>
      <c r="AQ40" s="90"/>
      <c r="AR40" s="90"/>
      <c r="AS40" s="90"/>
      <c r="AT40" s="91"/>
      <c r="AV40" s="1" t="s">
        <v>43</v>
      </c>
      <c r="AW40" s="1"/>
      <c r="AX40" s="1"/>
      <c r="AY40" s="1"/>
      <c r="AZ40" s="20">
        <f>AZ39/AW39</f>
        <v>0.14812828282828283</v>
      </c>
    </row>
    <row r="41" spans="1:52" x14ac:dyDescent="0.2">
      <c r="A41" s="1" t="s">
        <v>115</v>
      </c>
      <c r="B41" s="3">
        <v>24.09</v>
      </c>
      <c r="C41" s="5" t="s">
        <v>12</v>
      </c>
      <c r="D41" s="6">
        <f t="shared" si="0"/>
        <v>2.409E-2</v>
      </c>
      <c r="L41" s="1" t="s">
        <v>442</v>
      </c>
      <c r="M41" s="1">
        <v>70</v>
      </c>
      <c r="N41" s="1" t="s">
        <v>129</v>
      </c>
      <c r="O41" s="55" t="s">
        <v>578</v>
      </c>
      <c r="P41" s="56"/>
      <c r="R41" s="1" t="s">
        <v>594</v>
      </c>
      <c r="S41" s="1">
        <v>90</v>
      </c>
      <c r="T41" s="1" t="s">
        <v>129</v>
      </c>
      <c r="U41" s="55" t="s">
        <v>810</v>
      </c>
      <c r="V41" s="56"/>
      <c r="X41" s="1" t="s">
        <v>684</v>
      </c>
      <c r="Y41" s="1">
        <v>30</v>
      </c>
      <c r="Z41" s="1" t="s">
        <v>129</v>
      </c>
      <c r="AA41" s="55"/>
      <c r="AB41" s="56"/>
      <c r="AD41" s="1" t="s">
        <v>442</v>
      </c>
      <c r="AE41" s="1">
        <v>70</v>
      </c>
      <c r="AF41" s="1" t="s">
        <v>129</v>
      </c>
      <c r="AG41" s="55" t="s">
        <v>578</v>
      </c>
      <c r="AH41" s="56"/>
      <c r="AJ41" s="92" t="s">
        <v>461</v>
      </c>
      <c r="AK41" s="93"/>
      <c r="AL41" s="93"/>
      <c r="AM41" s="93"/>
      <c r="AN41" s="94"/>
      <c r="AP41" s="1" t="s">
        <v>442</v>
      </c>
      <c r="AQ41" s="1">
        <v>5</v>
      </c>
      <c r="AR41" s="1" t="s">
        <v>22</v>
      </c>
      <c r="AS41" s="1">
        <v>5.6000000000000001E-2</v>
      </c>
      <c r="AT41" s="1">
        <f>AS41*AQ41</f>
        <v>0.28000000000000003</v>
      </c>
    </row>
    <row r="42" spans="1:52" x14ac:dyDescent="0.2">
      <c r="A42" s="1" t="s">
        <v>120</v>
      </c>
      <c r="B42" s="3">
        <v>41.4</v>
      </c>
      <c r="C42" s="5" t="s">
        <v>12</v>
      </c>
      <c r="D42" s="6">
        <f t="shared" si="0"/>
        <v>4.1399999999999999E-2</v>
      </c>
      <c r="F42" s="92" t="s">
        <v>127</v>
      </c>
      <c r="G42" s="93"/>
      <c r="H42" s="93"/>
      <c r="I42" s="93"/>
      <c r="J42" s="94"/>
      <c r="L42" s="1" t="s">
        <v>684</v>
      </c>
      <c r="M42" s="1">
        <v>30</v>
      </c>
      <c r="N42" s="1" t="s">
        <v>129</v>
      </c>
      <c r="O42" s="55"/>
      <c r="P42" s="56"/>
      <c r="R42" s="1" t="s">
        <v>604</v>
      </c>
      <c r="S42" s="1">
        <v>40</v>
      </c>
      <c r="T42" s="1" t="s">
        <v>129</v>
      </c>
      <c r="U42" s="55" t="s">
        <v>810</v>
      </c>
      <c r="V42" s="56"/>
      <c r="X42" s="1" t="s">
        <v>456</v>
      </c>
      <c r="Y42" s="1">
        <v>30</v>
      </c>
      <c r="Z42" s="1" t="s">
        <v>688</v>
      </c>
      <c r="AA42" s="55" t="s">
        <v>139</v>
      </c>
      <c r="AB42" s="56"/>
      <c r="AD42" s="1" t="s">
        <v>684</v>
      </c>
      <c r="AE42" s="1">
        <v>30</v>
      </c>
      <c r="AF42" s="1" t="s">
        <v>129</v>
      </c>
      <c r="AG42" s="55"/>
      <c r="AH42" s="56"/>
      <c r="AJ42" s="1" t="s">
        <v>442</v>
      </c>
      <c r="AK42" s="1">
        <v>5</v>
      </c>
      <c r="AL42" s="1" t="s">
        <v>22</v>
      </c>
      <c r="AM42" s="1">
        <v>5.6000000000000001E-2</v>
      </c>
      <c r="AN42" s="1">
        <f>AM42*AK42</f>
        <v>0.28000000000000003</v>
      </c>
      <c r="AP42" s="1" t="s">
        <v>470</v>
      </c>
      <c r="AQ42" s="1">
        <v>15</v>
      </c>
      <c r="AR42" s="1" t="s">
        <v>22</v>
      </c>
      <c r="AS42" s="1">
        <v>0.153</v>
      </c>
      <c r="AT42" s="1">
        <f t="shared" ref="AT42:AT44" si="60">AS42*AQ42</f>
        <v>2.2949999999999999</v>
      </c>
      <c r="AV42" s="82" t="s">
        <v>166</v>
      </c>
      <c r="AW42" s="83"/>
      <c r="AX42" s="83"/>
      <c r="AY42" s="83"/>
      <c r="AZ42" s="84"/>
    </row>
    <row r="43" spans="1:52" x14ac:dyDescent="0.2">
      <c r="A43" s="1" t="s">
        <v>122</v>
      </c>
      <c r="B43" s="3">
        <v>63.2</v>
      </c>
      <c r="C43" s="5" t="s">
        <v>12</v>
      </c>
      <c r="D43" s="6">
        <f t="shared" si="0"/>
        <v>6.3200000000000006E-2</v>
      </c>
      <c r="F43" s="1" t="s">
        <v>428</v>
      </c>
      <c r="G43" s="1">
        <v>90</v>
      </c>
      <c r="H43" s="1" t="s">
        <v>129</v>
      </c>
      <c r="I43" s="55" t="s">
        <v>685</v>
      </c>
      <c r="J43" s="56"/>
      <c r="L43" s="1" t="s">
        <v>807</v>
      </c>
      <c r="M43" s="1">
        <v>80</v>
      </c>
      <c r="N43" s="1" t="s">
        <v>129</v>
      </c>
      <c r="O43" s="55" t="s">
        <v>578</v>
      </c>
      <c r="P43" s="56"/>
      <c r="R43" s="1" t="s">
        <v>684</v>
      </c>
      <c r="S43" s="1">
        <v>30</v>
      </c>
      <c r="T43" s="1" t="s">
        <v>129</v>
      </c>
      <c r="U43" s="55"/>
      <c r="V43" s="56"/>
      <c r="X43" s="1" t="s">
        <v>687</v>
      </c>
      <c r="Y43" s="1">
        <v>60</v>
      </c>
      <c r="Z43" s="1" t="s">
        <v>129</v>
      </c>
      <c r="AA43" s="55" t="s">
        <v>686</v>
      </c>
      <c r="AB43" s="56"/>
      <c r="AD43" s="1" t="s">
        <v>814</v>
      </c>
      <c r="AE43" s="1">
        <v>20</v>
      </c>
      <c r="AF43" s="1" t="s">
        <v>129</v>
      </c>
      <c r="AG43" s="55" t="s">
        <v>810</v>
      </c>
      <c r="AH43" s="56"/>
      <c r="AJ43" s="1" t="s">
        <v>373</v>
      </c>
      <c r="AK43" s="1">
        <v>14</v>
      </c>
      <c r="AL43" s="1" t="s">
        <v>22</v>
      </c>
      <c r="AM43" s="1">
        <v>0.14599999999999999</v>
      </c>
      <c r="AN43" s="1">
        <f t="shared" ref="AN43:AN45" si="61">AM43*AK43</f>
        <v>2.044</v>
      </c>
      <c r="AP43" s="1" t="s">
        <v>471</v>
      </c>
      <c r="AQ43" s="1">
        <v>70</v>
      </c>
      <c r="AR43" s="1" t="s">
        <v>22</v>
      </c>
      <c r="AS43" s="1">
        <v>0.12309</v>
      </c>
      <c r="AT43" s="1">
        <f t="shared" si="60"/>
        <v>8.6163000000000007</v>
      </c>
      <c r="AV43" s="1" t="s">
        <v>170</v>
      </c>
      <c r="AW43" s="1">
        <v>14</v>
      </c>
      <c r="AX43" s="1" t="s">
        <v>22</v>
      </c>
      <c r="AY43" s="1">
        <v>8.6300000000000002E-2</v>
      </c>
      <c r="AZ43" s="17">
        <f t="shared" ref="AZ43:AZ46" si="62">AY43*AW43</f>
        <v>1.2081999999999999</v>
      </c>
    </row>
    <row r="44" spans="1:52" x14ac:dyDescent="0.2">
      <c r="A44" s="1" t="s">
        <v>126</v>
      </c>
      <c r="B44" s="3">
        <v>173.49</v>
      </c>
      <c r="C44" s="5" t="s">
        <v>12</v>
      </c>
      <c r="D44" s="6">
        <f t="shared" si="0"/>
        <v>0.17349000000000001</v>
      </c>
      <c r="F44" s="1" t="s">
        <v>684</v>
      </c>
      <c r="G44" s="1">
        <v>30</v>
      </c>
      <c r="H44" s="1" t="s">
        <v>129</v>
      </c>
      <c r="I44" s="55"/>
      <c r="J44" s="56"/>
      <c r="L44" s="1" t="s">
        <v>553</v>
      </c>
      <c r="M44" s="1">
        <v>60</v>
      </c>
      <c r="N44" s="1" t="s">
        <v>129</v>
      </c>
      <c r="O44" s="55" t="s">
        <v>578</v>
      </c>
      <c r="P44" s="56"/>
      <c r="R44" s="1" t="s">
        <v>811</v>
      </c>
      <c r="S44" s="1">
        <v>50</v>
      </c>
      <c r="T44" s="1" t="s">
        <v>129</v>
      </c>
      <c r="U44" s="55" t="s">
        <v>810</v>
      </c>
      <c r="V44" s="56"/>
      <c r="X44" s="1" t="s">
        <v>689</v>
      </c>
      <c r="Y44" s="1">
        <v>80</v>
      </c>
      <c r="Z44" s="1" t="s">
        <v>688</v>
      </c>
      <c r="AA44" s="55" t="s">
        <v>686</v>
      </c>
      <c r="AB44" s="56"/>
      <c r="AD44" s="1" t="s">
        <v>458</v>
      </c>
      <c r="AE44" s="1">
        <v>55</v>
      </c>
      <c r="AF44" s="1" t="s">
        <v>129</v>
      </c>
      <c r="AG44" s="55" t="s">
        <v>810</v>
      </c>
      <c r="AH44" s="56"/>
      <c r="AJ44" s="1" t="s">
        <v>462</v>
      </c>
      <c r="AK44" s="1">
        <v>60</v>
      </c>
      <c r="AL44" s="1" t="s">
        <v>22</v>
      </c>
      <c r="AM44" s="1">
        <v>0.11541</v>
      </c>
      <c r="AN44" s="1">
        <f t="shared" si="61"/>
        <v>6.9245999999999999</v>
      </c>
      <c r="AP44" s="1" t="s">
        <v>472</v>
      </c>
      <c r="AQ44" s="1">
        <v>5</v>
      </c>
      <c r="AR44" s="1" t="s">
        <v>22</v>
      </c>
      <c r="AS44" s="1">
        <v>0.13500000000000001</v>
      </c>
      <c r="AT44" s="1">
        <f t="shared" si="60"/>
        <v>0.67500000000000004</v>
      </c>
      <c r="AV44" s="1" t="s">
        <v>172</v>
      </c>
      <c r="AW44" s="1">
        <v>5</v>
      </c>
      <c r="AX44" s="1" t="s">
        <v>22</v>
      </c>
      <c r="AY44" s="1">
        <v>5.6000000000000001E-2</v>
      </c>
      <c r="AZ44" s="17">
        <f t="shared" si="62"/>
        <v>0.28000000000000003</v>
      </c>
    </row>
    <row r="45" spans="1:52" x14ac:dyDescent="0.2">
      <c r="A45" s="1" t="s">
        <v>29</v>
      </c>
      <c r="B45" s="3">
        <v>81</v>
      </c>
      <c r="C45" s="5" t="s">
        <v>12</v>
      </c>
      <c r="D45" s="6">
        <f t="shared" si="0"/>
        <v>8.1000000000000003E-2</v>
      </c>
      <c r="F45" s="1" t="s">
        <v>433</v>
      </c>
      <c r="G45" s="1">
        <v>80</v>
      </c>
      <c r="H45" s="1" t="s">
        <v>129</v>
      </c>
      <c r="I45" s="55" t="s">
        <v>686</v>
      </c>
      <c r="J45" s="56"/>
      <c r="L45" s="1" t="s">
        <v>689</v>
      </c>
      <c r="M45" s="1">
        <v>80</v>
      </c>
      <c r="N45" s="1" t="s">
        <v>688</v>
      </c>
      <c r="O45" s="55" t="s">
        <v>578</v>
      </c>
      <c r="P45" s="56"/>
      <c r="R45" s="1" t="s">
        <v>812</v>
      </c>
      <c r="S45" s="1">
        <v>55</v>
      </c>
      <c r="T45" s="1" t="s">
        <v>129</v>
      </c>
      <c r="U45" s="55" t="s">
        <v>810</v>
      </c>
      <c r="V45" s="56"/>
      <c r="X45" s="1" t="s">
        <v>690</v>
      </c>
      <c r="Y45" s="1">
        <v>150</v>
      </c>
      <c r="Z45" s="1" t="s">
        <v>129</v>
      </c>
      <c r="AA45" s="55" t="s">
        <v>686</v>
      </c>
      <c r="AB45" s="56"/>
      <c r="AD45" s="1" t="s">
        <v>815</v>
      </c>
      <c r="AE45" s="1">
        <v>50</v>
      </c>
      <c r="AF45" s="1" t="s">
        <v>129</v>
      </c>
      <c r="AG45" s="55" t="s">
        <v>810</v>
      </c>
      <c r="AH45" s="56"/>
      <c r="AJ45" s="1" t="s">
        <v>160</v>
      </c>
      <c r="AK45" s="1">
        <v>35</v>
      </c>
      <c r="AL45" s="1" t="s">
        <v>22</v>
      </c>
      <c r="AM45" s="1">
        <v>0.157</v>
      </c>
      <c r="AN45" s="1">
        <f t="shared" si="61"/>
        <v>5.4950000000000001</v>
      </c>
      <c r="AP45" s="1" t="s">
        <v>41</v>
      </c>
      <c r="AQ45" s="1"/>
      <c r="AR45" s="1"/>
      <c r="AS45" s="1"/>
      <c r="AT45" s="21">
        <f>SUM(AT41:AT44)</f>
        <v>11.866300000000003</v>
      </c>
      <c r="AV45" s="1" t="s">
        <v>154</v>
      </c>
      <c r="AW45" s="1">
        <v>50</v>
      </c>
      <c r="AX45" s="1" t="s">
        <v>22</v>
      </c>
      <c r="AY45" s="1">
        <v>0.126</v>
      </c>
      <c r="AZ45" s="17">
        <f t="shared" si="62"/>
        <v>6.3</v>
      </c>
    </row>
    <row r="46" spans="1:52" x14ac:dyDescent="0.2">
      <c r="A46" s="1" t="s">
        <v>90</v>
      </c>
      <c r="B46" s="3">
        <v>930</v>
      </c>
      <c r="C46" s="5" t="s">
        <v>12</v>
      </c>
      <c r="D46" s="6">
        <f t="shared" si="0"/>
        <v>0.93</v>
      </c>
      <c r="F46" s="1" t="s">
        <v>687</v>
      </c>
      <c r="G46" s="1">
        <v>60</v>
      </c>
      <c r="H46" s="1" t="s">
        <v>129</v>
      </c>
      <c r="I46" s="55" t="s">
        <v>686</v>
      </c>
      <c r="J46" s="56"/>
      <c r="L46" s="1" t="s">
        <v>690</v>
      </c>
      <c r="M46" s="1">
        <v>130</v>
      </c>
      <c r="N46" s="1" t="s">
        <v>129</v>
      </c>
      <c r="O46" s="55" t="s">
        <v>578</v>
      </c>
      <c r="P46" s="56"/>
      <c r="R46" s="1" t="s">
        <v>690</v>
      </c>
      <c r="S46" s="1">
        <v>90</v>
      </c>
      <c r="T46" s="1" t="s">
        <v>129</v>
      </c>
      <c r="U46" s="55" t="s">
        <v>578</v>
      </c>
      <c r="V46" s="56"/>
      <c r="X46" s="1" t="s">
        <v>808</v>
      </c>
      <c r="Y46" s="1">
        <v>4</v>
      </c>
      <c r="Z46" s="1" t="s">
        <v>129</v>
      </c>
      <c r="AA46" s="55" t="s">
        <v>809</v>
      </c>
      <c r="AB46" s="56"/>
      <c r="AD46" s="1" t="s">
        <v>816</v>
      </c>
      <c r="AE46" s="1">
        <v>70</v>
      </c>
      <c r="AF46" s="1" t="s">
        <v>129</v>
      </c>
      <c r="AG46" s="55" t="s">
        <v>810</v>
      </c>
      <c r="AH46" s="56"/>
      <c r="AJ46" s="1" t="s">
        <v>41</v>
      </c>
      <c r="AK46" s="1"/>
      <c r="AL46" s="1"/>
      <c r="AM46" s="1"/>
      <c r="AN46" s="21">
        <f>SUM(AN42:AN45)</f>
        <v>14.743600000000001</v>
      </c>
      <c r="AV46" s="1" t="s">
        <v>177</v>
      </c>
      <c r="AW46" s="1">
        <v>25</v>
      </c>
      <c r="AX46" s="1" t="s">
        <v>22</v>
      </c>
      <c r="AY46" s="1">
        <v>0.14799999999999999</v>
      </c>
      <c r="AZ46" s="17">
        <f t="shared" si="62"/>
        <v>3.6999999999999997</v>
      </c>
    </row>
    <row r="47" spans="1:52" x14ac:dyDescent="0.2">
      <c r="A47" s="1" t="s">
        <v>130</v>
      </c>
      <c r="B47" s="3">
        <v>750</v>
      </c>
      <c r="C47" s="5" t="s">
        <v>12</v>
      </c>
      <c r="D47" s="6">
        <f t="shared" si="0"/>
        <v>0.75</v>
      </c>
      <c r="F47" s="1" t="s">
        <v>689</v>
      </c>
      <c r="G47" s="1">
        <v>80</v>
      </c>
      <c r="H47" s="1" t="s">
        <v>688</v>
      </c>
      <c r="I47" s="55" t="s">
        <v>686</v>
      </c>
      <c r="J47" s="56"/>
      <c r="L47" s="1" t="s">
        <v>808</v>
      </c>
      <c r="M47" s="1">
        <v>4</v>
      </c>
      <c r="N47" s="1" t="s">
        <v>129</v>
      </c>
      <c r="O47" s="55" t="s">
        <v>809</v>
      </c>
      <c r="P47" s="56"/>
      <c r="R47" s="1" t="s">
        <v>808</v>
      </c>
      <c r="S47" s="1">
        <v>4</v>
      </c>
      <c r="T47" s="1" t="s">
        <v>129</v>
      </c>
      <c r="U47" s="55" t="s">
        <v>809</v>
      </c>
      <c r="V47" s="56"/>
      <c r="X47" s="1" t="s">
        <v>41</v>
      </c>
      <c r="Y47" s="1">
        <f>SUM(Y40:Y46)</f>
        <v>439</v>
      </c>
      <c r="Z47" s="1" t="s">
        <v>129</v>
      </c>
      <c r="AA47" s="55">
        <v>20</v>
      </c>
      <c r="AB47" s="56"/>
      <c r="AD47" s="1" t="s">
        <v>808</v>
      </c>
      <c r="AE47" s="1">
        <v>4</v>
      </c>
      <c r="AF47" s="1" t="s">
        <v>129</v>
      </c>
      <c r="AG47" s="55" t="s">
        <v>809</v>
      </c>
      <c r="AH47" s="56"/>
      <c r="AP47" s="63" t="s">
        <v>127</v>
      </c>
      <c r="AQ47" s="63"/>
      <c r="AR47" s="63"/>
      <c r="AS47" s="63"/>
      <c r="AT47" s="63"/>
      <c r="AV47" s="1" t="s">
        <v>41</v>
      </c>
      <c r="AW47" s="1"/>
      <c r="AX47" s="1"/>
      <c r="AY47" s="1"/>
      <c r="AZ47" s="21">
        <f>SUM(AZ43:AZ46)</f>
        <v>11.488199999999999</v>
      </c>
    </row>
    <row r="48" spans="1:52" x14ac:dyDescent="0.2">
      <c r="A48" s="1" t="s">
        <v>135</v>
      </c>
      <c r="B48" s="3">
        <v>1224</v>
      </c>
      <c r="C48" s="5" t="s">
        <v>12</v>
      </c>
      <c r="D48" s="6">
        <f t="shared" si="0"/>
        <v>1.224</v>
      </c>
      <c r="F48" s="1" t="s">
        <v>690</v>
      </c>
      <c r="G48" s="1">
        <v>150</v>
      </c>
      <c r="H48" s="1" t="s">
        <v>129</v>
      </c>
      <c r="I48" s="55" t="s">
        <v>686</v>
      </c>
      <c r="J48" s="56"/>
      <c r="L48" s="1" t="s">
        <v>41</v>
      </c>
      <c r="M48" s="1">
        <f>SUM(M41:M47)</f>
        <v>454</v>
      </c>
      <c r="N48" s="1" t="s">
        <v>129</v>
      </c>
      <c r="O48" s="55" t="s">
        <v>810</v>
      </c>
      <c r="P48" s="56"/>
      <c r="R48" s="1" t="s">
        <v>41</v>
      </c>
      <c r="S48" s="1">
        <f>SUM(S40:S47)</f>
        <v>404</v>
      </c>
      <c r="T48" s="1" t="s">
        <v>697</v>
      </c>
      <c r="U48" s="55" t="s">
        <v>810</v>
      </c>
      <c r="V48" s="56"/>
      <c r="X48" s="1"/>
      <c r="Y48" s="1">
        <f>Y47</f>
        <v>439</v>
      </c>
      <c r="Z48" s="1" t="s">
        <v>129</v>
      </c>
      <c r="AA48" s="55">
        <f>(AA47*4)/3</f>
        <v>26.666666666666668</v>
      </c>
      <c r="AB48" s="56"/>
      <c r="AD48" s="1" t="s">
        <v>41</v>
      </c>
      <c r="AE48" s="1">
        <f>SUM(AE40:AE47)</f>
        <v>349</v>
      </c>
      <c r="AF48" s="1" t="s">
        <v>129</v>
      </c>
      <c r="AG48" s="55">
        <v>18</v>
      </c>
      <c r="AH48" s="56"/>
      <c r="AJ48" s="184" t="s">
        <v>127</v>
      </c>
      <c r="AK48" s="184"/>
      <c r="AL48" s="184"/>
      <c r="AM48" s="184"/>
      <c r="AN48" s="184"/>
      <c r="AP48" s="1" t="s">
        <v>537</v>
      </c>
      <c r="AQ48" s="1">
        <v>35</v>
      </c>
      <c r="AR48" s="1" t="s">
        <v>129</v>
      </c>
      <c r="AS48" s="55" t="s">
        <v>538</v>
      </c>
      <c r="AT48" s="56"/>
    </row>
    <row r="49" spans="1:52" x14ac:dyDescent="0.2">
      <c r="A49" s="1" t="s">
        <v>140</v>
      </c>
      <c r="B49" s="3">
        <v>760</v>
      </c>
      <c r="C49" s="5" t="s">
        <v>12</v>
      </c>
      <c r="D49" s="6">
        <f t="shared" si="0"/>
        <v>0.76</v>
      </c>
      <c r="F49" s="1" t="s">
        <v>41</v>
      </c>
      <c r="G49" s="1">
        <f>SUM(G43:G48)</f>
        <v>490</v>
      </c>
      <c r="H49" s="1" t="s">
        <v>129</v>
      </c>
      <c r="I49" s="55" t="s">
        <v>691</v>
      </c>
      <c r="J49" s="56"/>
      <c r="L49" s="1"/>
      <c r="M49" s="1">
        <f>M48</f>
        <v>454</v>
      </c>
      <c r="N49" s="1" t="s">
        <v>129</v>
      </c>
      <c r="O49" s="55">
        <f>(18*4)/3</f>
        <v>24</v>
      </c>
      <c r="P49" s="56"/>
      <c r="R49" s="1"/>
      <c r="S49" s="1">
        <f>S48</f>
        <v>404</v>
      </c>
      <c r="T49" s="1" t="s">
        <v>129</v>
      </c>
      <c r="U49" s="55">
        <f>(18*4)/3</f>
        <v>24</v>
      </c>
      <c r="V49" s="56"/>
      <c r="X49" s="33" t="s">
        <v>240</v>
      </c>
      <c r="Y49" s="35">
        <f>Y48/AA48</f>
        <v>16.462499999999999</v>
      </c>
      <c r="Z49" s="33" t="s">
        <v>129</v>
      </c>
      <c r="AA49" s="57" t="s">
        <v>693</v>
      </c>
      <c r="AB49" s="58"/>
      <c r="AD49" s="1"/>
      <c r="AE49" s="1">
        <f>AE48</f>
        <v>349</v>
      </c>
      <c r="AF49" s="1" t="s">
        <v>129</v>
      </c>
      <c r="AG49" s="55">
        <f>(AG48*4)/3</f>
        <v>24</v>
      </c>
      <c r="AH49" s="56"/>
      <c r="AJ49" s="1" t="s">
        <v>537</v>
      </c>
      <c r="AK49" s="1">
        <v>35</v>
      </c>
      <c r="AL49" s="1" t="s">
        <v>129</v>
      </c>
      <c r="AM49" s="55" t="s">
        <v>538</v>
      </c>
      <c r="AN49" s="56"/>
      <c r="AP49" s="1" t="s">
        <v>541</v>
      </c>
      <c r="AQ49" s="1">
        <v>100</v>
      </c>
      <c r="AR49" s="1" t="s">
        <v>129</v>
      </c>
      <c r="AS49" s="55" t="s">
        <v>542</v>
      </c>
      <c r="AT49" s="56"/>
      <c r="AV49" s="85" t="s">
        <v>127</v>
      </c>
      <c r="AW49" s="85"/>
      <c r="AX49" s="85"/>
      <c r="AY49" s="85"/>
      <c r="AZ49" s="85"/>
    </row>
    <row r="50" spans="1:52" x14ac:dyDescent="0.2">
      <c r="A50" s="1" t="s">
        <v>44</v>
      </c>
      <c r="B50" s="3">
        <v>658</v>
      </c>
      <c r="C50" s="5" t="s">
        <v>12</v>
      </c>
      <c r="D50" s="6">
        <f t="shared" si="0"/>
        <v>0.65800000000000003</v>
      </c>
      <c r="F50" s="1"/>
      <c r="G50" s="1">
        <v>490</v>
      </c>
      <c r="H50" s="1" t="s">
        <v>129</v>
      </c>
      <c r="I50" s="55">
        <f>(20*4)/3</f>
        <v>26.666666666666668</v>
      </c>
      <c r="J50" s="56"/>
      <c r="L50" s="33" t="s">
        <v>240</v>
      </c>
      <c r="M50" s="35">
        <f>M49/O49</f>
        <v>18.916666666666668</v>
      </c>
      <c r="N50" s="33" t="s">
        <v>129</v>
      </c>
      <c r="O50" s="57" t="s">
        <v>693</v>
      </c>
      <c r="P50" s="58"/>
      <c r="R50" s="33" t="s">
        <v>240</v>
      </c>
      <c r="S50" s="35">
        <f>S49/U49</f>
        <v>16.833333333333332</v>
      </c>
      <c r="T50" s="33" t="s">
        <v>129</v>
      </c>
      <c r="U50" s="57" t="s">
        <v>693</v>
      </c>
      <c r="V50" s="58"/>
      <c r="AD50" s="33" t="s">
        <v>240</v>
      </c>
      <c r="AE50" s="35">
        <f>AE49/AG49</f>
        <v>14.541666666666666</v>
      </c>
      <c r="AF50" s="33" t="s">
        <v>129</v>
      </c>
      <c r="AG50" s="57" t="s">
        <v>693</v>
      </c>
      <c r="AH50" s="58"/>
      <c r="AJ50" s="1" t="s">
        <v>539</v>
      </c>
      <c r="AK50" s="1">
        <v>50</v>
      </c>
      <c r="AL50" s="1" t="s">
        <v>129</v>
      </c>
      <c r="AM50" s="55" t="s">
        <v>540</v>
      </c>
      <c r="AN50" s="56"/>
      <c r="AP50" s="1" t="s">
        <v>543</v>
      </c>
      <c r="AQ50" s="1">
        <v>35</v>
      </c>
      <c r="AR50" s="1" t="s">
        <v>129</v>
      </c>
      <c r="AS50" s="55" t="s">
        <v>544</v>
      </c>
      <c r="AT50" s="56"/>
      <c r="AV50" s="1" t="s">
        <v>537</v>
      </c>
      <c r="AW50" s="1">
        <v>35</v>
      </c>
      <c r="AX50" s="1" t="s">
        <v>129</v>
      </c>
      <c r="AY50" s="55" t="s">
        <v>538</v>
      </c>
      <c r="AZ50" s="56"/>
    </row>
    <row r="51" spans="1:52" x14ac:dyDescent="0.2">
      <c r="A51" s="1" t="s">
        <v>145</v>
      </c>
      <c r="B51" s="3">
        <v>836</v>
      </c>
      <c r="C51" s="5" t="s">
        <v>12</v>
      </c>
      <c r="D51" s="6">
        <f t="shared" si="0"/>
        <v>0.83599999999999997</v>
      </c>
      <c r="F51" s="33" t="s">
        <v>240</v>
      </c>
      <c r="G51" s="35">
        <f>G50/I50</f>
        <v>18.375</v>
      </c>
      <c r="H51" s="33" t="s">
        <v>129</v>
      </c>
      <c r="I51" s="57" t="s">
        <v>693</v>
      </c>
      <c r="J51" s="58"/>
      <c r="X51" s="1" t="s">
        <v>503</v>
      </c>
      <c r="Y51" s="1">
        <v>375</v>
      </c>
      <c r="Z51" s="1" t="s">
        <v>494</v>
      </c>
      <c r="AA51" s="1">
        <f>Y51/60</f>
        <v>6.25</v>
      </c>
      <c r="AB51" s="1" t="s">
        <v>129</v>
      </c>
      <c r="AJ51" s="1" t="s">
        <v>442</v>
      </c>
      <c r="AK51" s="1">
        <v>90</v>
      </c>
      <c r="AL51" s="1" t="s">
        <v>129</v>
      </c>
      <c r="AM51" s="55" t="s">
        <v>577</v>
      </c>
      <c r="AN51" s="56"/>
      <c r="AP51" s="1" t="s">
        <v>545</v>
      </c>
      <c r="AQ51" s="1">
        <v>225</v>
      </c>
      <c r="AR51" s="1" t="s">
        <v>129</v>
      </c>
      <c r="AS51" s="55" t="s">
        <v>546</v>
      </c>
      <c r="AT51" s="56"/>
      <c r="AV51" s="1" t="s">
        <v>550</v>
      </c>
      <c r="AW51" s="1">
        <v>120</v>
      </c>
      <c r="AX51" s="1" t="s">
        <v>129</v>
      </c>
      <c r="AY51" s="55" t="s">
        <v>617</v>
      </c>
      <c r="AZ51" s="56"/>
    </row>
    <row r="52" spans="1:52" x14ac:dyDescent="0.2">
      <c r="A52" s="1" t="s">
        <v>88</v>
      </c>
      <c r="B52" s="3">
        <v>350.4</v>
      </c>
      <c r="C52" s="5" t="s">
        <v>12</v>
      </c>
      <c r="D52" s="6">
        <f t="shared" si="0"/>
        <v>0.35039999999999999</v>
      </c>
      <c r="L52" s="1" t="s">
        <v>503</v>
      </c>
      <c r="M52" s="1">
        <v>375</v>
      </c>
      <c r="N52" s="1" t="s">
        <v>494</v>
      </c>
      <c r="O52" s="1">
        <f>M52/60</f>
        <v>6.25</v>
      </c>
      <c r="P52" s="1" t="s">
        <v>129</v>
      </c>
      <c r="R52" s="1" t="s">
        <v>503</v>
      </c>
      <c r="S52" s="1">
        <v>375</v>
      </c>
      <c r="T52" s="1" t="s">
        <v>494</v>
      </c>
      <c r="U52" s="1">
        <f>S52/60</f>
        <v>6.25</v>
      </c>
      <c r="V52" s="1" t="s">
        <v>129</v>
      </c>
      <c r="AD52" s="1" t="s">
        <v>503</v>
      </c>
      <c r="AE52" s="1">
        <v>375</v>
      </c>
      <c r="AF52" s="1" t="s">
        <v>494</v>
      </c>
      <c r="AG52" s="1">
        <f>AE52/60</f>
        <v>6.25</v>
      </c>
      <c r="AH52" s="1" t="s">
        <v>129</v>
      </c>
      <c r="AJ52" s="1" t="s">
        <v>586</v>
      </c>
      <c r="AK52" s="1">
        <v>60</v>
      </c>
      <c r="AL52" s="1" t="s">
        <v>129</v>
      </c>
      <c r="AM52" s="55" t="s">
        <v>554</v>
      </c>
      <c r="AN52" s="56"/>
      <c r="AP52" s="1" t="s">
        <v>470</v>
      </c>
      <c r="AQ52" s="1">
        <v>70</v>
      </c>
      <c r="AR52" s="1" t="s">
        <v>129</v>
      </c>
      <c r="AS52" s="55" t="s">
        <v>546</v>
      </c>
      <c r="AT52" s="56"/>
      <c r="AV52" s="1" t="s">
        <v>553</v>
      </c>
      <c r="AW52" s="1">
        <v>90</v>
      </c>
      <c r="AX52" s="1" t="s">
        <v>129</v>
      </c>
      <c r="AY52" s="55" t="s">
        <v>554</v>
      </c>
      <c r="AZ52" s="56"/>
    </row>
    <row r="53" spans="1:52" x14ac:dyDescent="0.2">
      <c r="A53" s="1" t="s">
        <v>148</v>
      </c>
      <c r="B53" s="3">
        <v>48.8</v>
      </c>
      <c r="C53" s="5" t="s">
        <v>12</v>
      </c>
      <c r="D53" s="6">
        <f t="shared" si="0"/>
        <v>4.8799999999999996E-2</v>
      </c>
      <c r="F53" s="1" t="s">
        <v>503</v>
      </c>
      <c r="G53" s="1">
        <v>375</v>
      </c>
      <c r="H53" s="1" t="s">
        <v>494</v>
      </c>
      <c r="I53" s="1">
        <f>G53/60</f>
        <v>6.25</v>
      </c>
      <c r="J53" s="1" t="s">
        <v>129</v>
      </c>
      <c r="X53" s="75" t="s">
        <v>754</v>
      </c>
      <c r="Y53" s="77"/>
      <c r="AJ53" s="1" t="s">
        <v>587</v>
      </c>
      <c r="AK53" s="1">
        <v>35</v>
      </c>
      <c r="AL53" s="1" t="s">
        <v>129</v>
      </c>
      <c r="AM53" s="55" t="s">
        <v>554</v>
      </c>
      <c r="AN53" s="56"/>
      <c r="AP53" s="1" t="s">
        <v>547</v>
      </c>
      <c r="AQ53" s="1">
        <v>120</v>
      </c>
      <c r="AR53" s="1" t="s">
        <v>129</v>
      </c>
      <c r="AS53" s="55">
        <v>550</v>
      </c>
      <c r="AT53" s="56"/>
      <c r="AV53" s="1" t="s">
        <v>442</v>
      </c>
      <c r="AW53" s="1">
        <v>90</v>
      </c>
      <c r="AX53" s="1" t="s">
        <v>129</v>
      </c>
      <c r="AY53" s="55" t="s">
        <v>577</v>
      </c>
      <c r="AZ53" s="56"/>
    </row>
    <row r="54" spans="1:52" x14ac:dyDescent="0.2">
      <c r="A54" s="1" t="s">
        <v>150</v>
      </c>
      <c r="B54" s="3">
        <v>85</v>
      </c>
      <c r="C54" s="5" t="s">
        <v>12</v>
      </c>
      <c r="D54" s="6">
        <f t="shared" si="0"/>
        <v>8.5000000000000006E-2</v>
      </c>
      <c r="L54" s="89" t="s">
        <v>752</v>
      </c>
      <c r="M54" s="91"/>
      <c r="R54" s="82" t="s">
        <v>753</v>
      </c>
      <c r="S54" s="84"/>
      <c r="X54" s="43" t="s">
        <v>415</v>
      </c>
      <c r="Y54" s="43">
        <f>AB37</f>
        <v>293.01749999999998</v>
      </c>
      <c r="AD54" s="79" t="s">
        <v>755</v>
      </c>
      <c r="AE54" s="81"/>
      <c r="AJ54" s="1" t="s">
        <v>462</v>
      </c>
      <c r="AK54" s="1">
        <v>40</v>
      </c>
      <c r="AL54" s="1" t="s">
        <v>129</v>
      </c>
      <c r="AM54" s="55" t="s">
        <v>554</v>
      </c>
      <c r="AN54" s="56"/>
      <c r="AP54" s="1" t="s">
        <v>442</v>
      </c>
      <c r="AQ54" s="1">
        <v>90</v>
      </c>
      <c r="AR54" s="1" t="s">
        <v>129</v>
      </c>
      <c r="AS54" s="55" t="s">
        <v>577</v>
      </c>
      <c r="AT54" s="56"/>
      <c r="AV54" s="1" t="s">
        <v>602</v>
      </c>
      <c r="AW54" s="1">
        <v>135</v>
      </c>
      <c r="AX54" s="1" t="s">
        <v>129</v>
      </c>
      <c r="AY54" s="55" t="s">
        <v>603</v>
      </c>
      <c r="AZ54" s="56"/>
    </row>
    <row r="55" spans="1:52" x14ac:dyDescent="0.2">
      <c r="A55" s="1" t="s">
        <v>153</v>
      </c>
      <c r="B55" s="3">
        <v>144</v>
      </c>
      <c r="C55" s="5" t="s">
        <v>12</v>
      </c>
      <c r="D55" s="6">
        <f t="shared" si="0"/>
        <v>0.14399999999999999</v>
      </c>
      <c r="F55" s="98" t="s">
        <v>694</v>
      </c>
      <c r="G55" s="99"/>
      <c r="L55" s="43" t="s">
        <v>415</v>
      </c>
      <c r="M55" s="43">
        <f>P38</f>
        <v>362.30250000000001</v>
      </c>
      <c r="R55" s="43" t="s">
        <v>415</v>
      </c>
      <c r="S55" s="43">
        <f>V37</f>
        <v>319.11</v>
      </c>
      <c r="X55" s="1" t="s">
        <v>496</v>
      </c>
      <c r="Y55" s="1">
        <f>Y49*AA51</f>
        <v>102.89062499999999</v>
      </c>
      <c r="AD55" s="43" t="s">
        <v>415</v>
      </c>
      <c r="AE55" s="43">
        <f>AH37</f>
        <v>257.08124999999995</v>
      </c>
      <c r="AJ55" s="1" t="s">
        <v>601</v>
      </c>
      <c r="AK55" s="1">
        <v>150</v>
      </c>
      <c r="AL55" s="1" t="s">
        <v>129</v>
      </c>
      <c r="AM55" s="55" t="s">
        <v>554</v>
      </c>
      <c r="AN55" s="56"/>
      <c r="AP55" s="1" t="s">
        <v>682</v>
      </c>
      <c r="AQ55" s="1">
        <v>65</v>
      </c>
      <c r="AR55" s="1" t="s">
        <v>129</v>
      </c>
      <c r="AS55" s="55" t="s">
        <v>546</v>
      </c>
      <c r="AT55" s="56"/>
      <c r="AV55" s="1" t="s">
        <v>605</v>
      </c>
      <c r="AW55" s="1">
        <v>45</v>
      </c>
      <c r="AX55" s="1" t="s">
        <v>129</v>
      </c>
      <c r="AY55" s="55" t="s">
        <v>554</v>
      </c>
      <c r="AZ55" s="56"/>
    </row>
    <row r="56" spans="1:52" x14ac:dyDescent="0.2">
      <c r="A56" s="1" t="s">
        <v>155</v>
      </c>
      <c r="B56" s="3">
        <v>157.44</v>
      </c>
      <c r="C56" s="5" t="s">
        <v>12</v>
      </c>
      <c r="D56" s="6">
        <f t="shared" si="0"/>
        <v>0.15744</v>
      </c>
      <c r="F56" s="43" t="s">
        <v>415</v>
      </c>
      <c r="G56" s="43">
        <f>J40</f>
        <v>283.28625</v>
      </c>
      <c r="L56" s="1" t="s">
        <v>496</v>
      </c>
      <c r="M56" s="1">
        <f>M50*I53</f>
        <v>118.22916666666667</v>
      </c>
      <c r="R56" s="1" t="s">
        <v>496</v>
      </c>
      <c r="S56" s="1">
        <f>S50*U52</f>
        <v>105.20833333333333</v>
      </c>
      <c r="X56" s="33" t="s">
        <v>692</v>
      </c>
      <c r="Y56" s="21">
        <f>SUM(Y54:Y55)</f>
        <v>395.90812499999998</v>
      </c>
      <c r="AD56" s="1" t="s">
        <v>496</v>
      </c>
      <c r="AE56" s="1">
        <f>AE50*AG52</f>
        <v>90.885416666666657</v>
      </c>
      <c r="AJ56" s="1" t="s">
        <v>628</v>
      </c>
      <c r="AK56" s="1">
        <v>90</v>
      </c>
      <c r="AL56" s="1" t="s">
        <v>129</v>
      </c>
      <c r="AM56" s="55" t="s">
        <v>629</v>
      </c>
      <c r="AN56" s="56"/>
      <c r="AP56" s="1" t="s">
        <v>41</v>
      </c>
      <c r="AQ56" s="1">
        <f>SUM(AQ48:AQ55)</f>
        <v>740</v>
      </c>
      <c r="AR56" s="1" t="s">
        <v>129</v>
      </c>
      <c r="AS56" s="55">
        <v>550</v>
      </c>
      <c r="AT56" s="56"/>
      <c r="AV56" s="1" t="s">
        <v>683</v>
      </c>
      <c r="AW56" s="1">
        <v>70</v>
      </c>
      <c r="AX56" s="1" t="s">
        <v>129</v>
      </c>
      <c r="AY56" s="55" t="s">
        <v>554</v>
      </c>
      <c r="AZ56" s="56"/>
    </row>
    <row r="57" spans="1:52" x14ac:dyDescent="0.2">
      <c r="A57" s="1" t="s">
        <v>140</v>
      </c>
      <c r="B57" s="3">
        <v>812.8</v>
      </c>
      <c r="C57" s="5" t="s">
        <v>12</v>
      </c>
      <c r="D57" s="6">
        <f t="shared" si="0"/>
        <v>0.81279999999999997</v>
      </c>
      <c r="F57" s="1" t="s">
        <v>496</v>
      </c>
      <c r="G57" s="1">
        <f>G51*I53</f>
        <v>114.84375</v>
      </c>
      <c r="L57" s="33" t="s">
        <v>692</v>
      </c>
      <c r="M57" s="21">
        <f>SUM(M55:M56)</f>
        <v>480.53166666666669</v>
      </c>
      <c r="R57" s="33" t="s">
        <v>692</v>
      </c>
      <c r="S57" s="21">
        <f>SUM(S55:S56)</f>
        <v>424.31833333333333</v>
      </c>
      <c r="AD57" s="33" t="s">
        <v>692</v>
      </c>
      <c r="AE57" s="21">
        <f>SUM(AE55:AE56)</f>
        <v>347.96666666666658</v>
      </c>
      <c r="AJ57" s="1" t="s">
        <v>41</v>
      </c>
      <c r="AK57" s="1">
        <f>SUM(AK49:AK56)</f>
        <v>550</v>
      </c>
      <c r="AL57" s="1" t="s">
        <v>129</v>
      </c>
      <c r="AM57" s="55">
        <v>480</v>
      </c>
      <c r="AN57" s="56"/>
      <c r="AP57" s="33" t="s">
        <v>803</v>
      </c>
      <c r="AQ57" s="35">
        <f>AQ56/AS56</f>
        <v>1.3454545454545455</v>
      </c>
      <c r="AR57" s="33" t="s">
        <v>129</v>
      </c>
      <c r="AS57" s="57" t="s">
        <v>804</v>
      </c>
      <c r="AT57" s="58"/>
      <c r="AV57" s="1" t="s">
        <v>595</v>
      </c>
      <c r="AW57" s="1">
        <v>5</v>
      </c>
      <c r="AX57" s="1" t="s">
        <v>129</v>
      </c>
      <c r="AY57" s="55" t="s">
        <v>554</v>
      </c>
      <c r="AZ57" s="56"/>
    </row>
    <row r="58" spans="1:52" x14ac:dyDescent="0.2">
      <c r="A58" s="1" t="s">
        <v>74</v>
      </c>
      <c r="B58" s="3">
        <v>206.63</v>
      </c>
      <c r="C58" s="5" t="s">
        <v>12</v>
      </c>
      <c r="D58" s="6">
        <f t="shared" si="0"/>
        <v>0.20663000000000001</v>
      </c>
      <c r="F58" s="33" t="s">
        <v>692</v>
      </c>
      <c r="G58" s="21">
        <f>SUM(G56:G57)</f>
        <v>398.13</v>
      </c>
      <c r="I58">
        <v>2085</v>
      </c>
      <c r="AJ58" s="33" t="s">
        <v>240</v>
      </c>
      <c r="AK58" s="35">
        <f>AK57/AM57</f>
        <v>1.1458333333333333</v>
      </c>
      <c r="AL58" s="33" t="s">
        <v>129</v>
      </c>
      <c r="AM58" s="57" t="s">
        <v>805</v>
      </c>
      <c r="AN58" s="58"/>
      <c r="AV58" s="1" t="s">
        <v>596</v>
      </c>
      <c r="AW58" s="1">
        <v>20</v>
      </c>
      <c r="AX58" s="1" t="s">
        <v>129</v>
      </c>
      <c r="AY58" s="55">
        <v>480</v>
      </c>
      <c r="AZ58" s="56"/>
    </row>
    <row r="59" spans="1:52" x14ac:dyDescent="0.2">
      <c r="A59" s="1" t="s">
        <v>161</v>
      </c>
      <c r="B59" s="3">
        <v>50</v>
      </c>
      <c r="C59" s="5" t="s">
        <v>12</v>
      </c>
      <c r="D59" s="6">
        <f t="shared" si="0"/>
        <v>0.05</v>
      </c>
      <c r="AP59" s="89" t="s">
        <v>756</v>
      </c>
      <c r="AQ59" s="91"/>
      <c r="AV59" s="1" t="s">
        <v>41</v>
      </c>
      <c r="AW59" s="1">
        <f>SUM(AW50:AW58)</f>
        <v>610</v>
      </c>
      <c r="AX59" s="1" t="s">
        <v>129</v>
      </c>
      <c r="AY59" s="55">
        <v>480</v>
      </c>
      <c r="AZ59" s="56"/>
    </row>
    <row r="60" spans="1:52" x14ac:dyDescent="0.2">
      <c r="A60" s="1" t="s">
        <v>163</v>
      </c>
      <c r="B60" s="3">
        <v>75</v>
      </c>
      <c r="C60" s="5" t="s">
        <v>12</v>
      </c>
      <c r="D60" s="6">
        <f t="shared" si="0"/>
        <v>7.4999999999999997E-2</v>
      </c>
      <c r="AJ60" s="98" t="s">
        <v>722</v>
      </c>
      <c r="AK60" s="99"/>
      <c r="AP60" s="43" t="s">
        <v>415</v>
      </c>
      <c r="AQ60" s="43">
        <f>AT45</f>
        <v>11.866300000000003</v>
      </c>
      <c r="AV60" s="33" t="s">
        <v>240</v>
      </c>
      <c r="AW60" s="35">
        <f>AW59/AY59</f>
        <v>1.2708333333333333</v>
      </c>
      <c r="AX60" s="33" t="s">
        <v>129</v>
      </c>
      <c r="AY60" s="57" t="s">
        <v>806</v>
      </c>
      <c r="AZ60" s="58"/>
    </row>
    <row r="61" spans="1:52" x14ac:dyDescent="0.2">
      <c r="A61" s="1" t="s">
        <v>164</v>
      </c>
      <c r="B61" s="3">
        <v>173.2</v>
      </c>
      <c r="C61" s="5" t="s">
        <v>12</v>
      </c>
      <c r="D61" s="6">
        <f t="shared" si="0"/>
        <v>0.17319999999999999</v>
      </c>
      <c r="AJ61" s="43" t="s">
        <v>415</v>
      </c>
      <c r="AK61" s="43">
        <f>AN46</f>
        <v>14.743600000000001</v>
      </c>
      <c r="AP61" s="1" t="s">
        <v>496</v>
      </c>
      <c r="AQ61" s="1">
        <f>AQ57*I53</f>
        <v>8.4090909090909083</v>
      </c>
    </row>
    <row r="62" spans="1:52" x14ac:dyDescent="0.2">
      <c r="A62" s="1" t="s">
        <v>137</v>
      </c>
      <c r="B62" s="3">
        <v>611</v>
      </c>
      <c r="C62" s="5" t="s">
        <v>12</v>
      </c>
      <c r="D62" s="6">
        <f t="shared" si="0"/>
        <v>0.61099999999999999</v>
      </c>
      <c r="AJ62" s="1" t="s">
        <v>496</v>
      </c>
      <c r="AK62" s="1">
        <f>AK58*I53</f>
        <v>7.161458333333333</v>
      </c>
      <c r="AP62" s="33" t="s">
        <v>723</v>
      </c>
      <c r="AQ62" s="21">
        <f>SUM(AQ60:AQ61)</f>
        <v>20.275390909090909</v>
      </c>
      <c r="AV62" s="82" t="s">
        <v>757</v>
      </c>
      <c r="AW62" s="84"/>
    </row>
    <row r="63" spans="1:52" x14ac:dyDescent="0.2">
      <c r="A63" s="1" t="s">
        <v>63</v>
      </c>
      <c r="B63" s="3">
        <v>454</v>
      </c>
      <c r="C63" s="5" t="s">
        <v>12</v>
      </c>
      <c r="D63" s="6">
        <f t="shared" si="0"/>
        <v>0.45400000000000001</v>
      </c>
      <c r="AJ63" s="33" t="s">
        <v>723</v>
      </c>
      <c r="AK63" s="21">
        <f>SUM(AK61:AK62)</f>
        <v>21.905058333333333</v>
      </c>
      <c r="AV63" s="43" t="s">
        <v>415</v>
      </c>
      <c r="AW63" s="43">
        <f>AZ47</f>
        <v>11.488199999999999</v>
      </c>
    </row>
    <row r="64" spans="1:52" x14ac:dyDescent="0.2">
      <c r="A64" s="1" t="s">
        <v>165</v>
      </c>
      <c r="B64" s="3">
        <v>224.8</v>
      </c>
      <c r="C64" s="5" t="s">
        <v>12</v>
      </c>
      <c r="D64" s="6">
        <f t="shared" si="0"/>
        <v>0.2248</v>
      </c>
      <c r="AV64" s="1" t="s">
        <v>496</v>
      </c>
      <c r="AW64" s="1">
        <f>AW60*I53</f>
        <v>7.942708333333333</v>
      </c>
    </row>
    <row r="65" spans="1:49" x14ac:dyDescent="0.2">
      <c r="A65" s="1" t="s">
        <v>168</v>
      </c>
      <c r="B65" s="3">
        <v>141.4</v>
      </c>
      <c r="C65" s="5" t="s">
        <v>12</v>
      </c>
      <c r="D65" s="6">
        <f t="shared" si="0"/>
        <v>0.1414</v>
      </c>
      <c r="AV65" s="33" t="s">
        <v>723</v>
      </c>
      <c r="AW65" s="21">
        <f>SUM(AW63:AW64)</f>
        <v>19.430908333333331</v>
      </c>
    </row>
    <row r="66" spans="1:49" x14ac:dyDescent="0.2">
      <c r="A66" s="1" t="s">
        <v>169</v>
      </c>
      <c r="B66" s="3">
        <v>164</v>
      </c>
      <c r="C66" s="5" t="s">
        <v>12</v>
      </c>
      <c r="D66" s="6">
        <f t="shared" si="0"/>
        <v>0.16400000000000001</v>
      </c>
    </row>
    <row r="67" spans="1:49" x14ac:dyDescent="0.2">
      <c r="A67" s="1" t="s">
        <v>171</v>
      </c>
      <c r="B67" s="3">
        <v>166.24</v>
      </c>
      <c r="C67" s="5" t="s">
        <v>12</v>
      </c>
      <c r="D67" s="6">
        <f t="shared" ref="D67:D107" si="63">B67/1000</f>
        <v>0.16624</v>
      </c>
    </row>
    <row r="68" spans="1:49" x14ac:dyDescent="0.2">
      <c r="A68" s="1" t="s">
        <v>173</v>
      </c>
      <c r="B68" s="3">
        <v>168</v>
      </c>
      <c r="C68" s="5" t="s">
        <v>12</v>
      </c>
      <c r="D68" s="6">
        <f t="shared" si="63"/>
        <v>0.16800000000000001</v>
      </c>
    </row>
    <row r="69" spans="1:49" x14ac:dyDescent="0.2">
      <c r="A69" s="1" t="s">
        <v>174</v>
      </c>
      <c r="B69" s="3">
        <v>882</v>
      </c>
      <c r="C69" s="5" t="s">
        <v>12</v>
      </c>
      <c r="D69" s="6">
        <f t="shared" si="63"/>
        <v>0.88200000000000001</v>
      </c>
    </row>
    <row r="70" spans="1:49" x14ac:dyDescent="0.2">
      <c r="A70" s="1" t="s">
        <v>176</v>
      </c>
      <c r="B70" s="3">
        <v>828</v>
      </c>
      <c r="C70" s="5" t="s">
        <v>12</v>
      </c>
      <c r="D70" s="6">
        <f t="shared" si="63"/>
        <v>0.82799999999999996</v>
      </c>
    </row>
    <row r="71" spans="1:49" x14ac:dyDescent="0.2">
      <c r="A71" s="1" t="s">
        <v>179</v>
      </c>
      <c r="B71" s="3">
        <v>128</v>
      </c>
      <c r="C71" s="5" t="s">
        <v>12</v>
      </c>
      <c r="D71" s="6">
        <f t="shared" si="63"/>
        <v>0.128</v>
      </c>
    </row>
    <row r="72" spans="1:49" x14ac:dyDescent="0.2">
      <c r="A72" s="1" t="s">
        <v>181</v>
      </c>
      <c r="B72" s="4">
        <v>205.33</v>
      </c>
      <c r="C72" s="5" t="s">
        <v>12</v>
      </c>
      <c r="D72" s="6">
        <f t="shared" si="63"/>
        <v>0.20533000000000001</v>
      </c>
    </row>
    <row r="73" spans="1:49" x14ac:dyDescent="0.2">
      <c r="A73" s="1" t="s">
        <v>62</v>
      </c>
      <c r="B73" s="3">
        <v>114.66</v>
      </c>
      <c r="C73" s="5" t="s">
        <v>12</v>
      </c>
      <c r="D73" s="6">
        <f t="shared" si="63"/>
        <v>0.11466</v>
      </c>
    </row>
    <row r="74" spans="1:49" x14ac:dyDescent="0.2">
      <c r="A74" s="1" t="s">
        <v>86</v>
      </c>
      <c r="B74" s="3">
        <v>126</v>
      </c>
      <c r="C74" s="5" t="s">
        <v>12</v>
      </c>
      <c r="D74" s="6">
        <f t="shared" si="63"/>
        <v>0.126</v>
      </c>
    </row>
    <row r="75" spans="1:49" x14ac:dyDescent="0.2">
      <c r="A75" s="1" t="s">
        <v>183</v>
      </c>
      <c r="B75" s="3">
        <v>167</v>
      </c>
      <c r="C75" s="5" t="s">
        <v>12</v>
      </c>
      <c r="D75" s="6">
        <f t="shared" si="63"/>
        <v>0.16700000000000001</v>
      </c>
    </row>
    <row r="76" spans="1:49" x14ac:dyDescent="0.2">
      <c r="A76" s="1" t="s">
        <v>184</v>
      </c>
      <c r="B76" s="3">
        <v>133.6</v>
      </c>
      <c r="C76" s="5" t="s">
        <v>12</v>
      </c>
      <c r="D76" s="6">
        <f t="shared" si="63"/>
        <v>0.1336</v>
      </c>
    </row>
    <row r="77" spans="1:49" x14ac:dyDescent="0.2">
      <c r="A77" s="1" t="s">
        <v>186</v>
      </c>
      <c r="B77" s="3">
        <v>113.6</v>
      </c>
      <c r="C77" s="5" t="s">
        <v>12</v>
      </c>
      <c r="D77" s="6">
        <f t="shared" si="63"/>
        <v>0.11359999999999999</v>
      </c>
    </row>
    <row r="78" spans="1:49" x14ac:dyDescent="0.2">
      <c r="A78" s="1" t="s">
        <v>51</v>
      </c>
      <c r="B78" s="4">
        <v>91</v>
      </c>
      <c r="C78" s="5" t="s">
        <v>12</v>
      </c>
      <c r="D78" s="6">
        <f t="shared" si="63"/>
        <v>9.0999999999999998E-2</v>
      </c>
    </row>
    <row r="79" spans="1:49" x14ac:dyDescent="0.2">
      <c r="A79" s="1" t="s">
        <v>56</v>
      </c>
      <c r="B79" s="4">
        <v>105.6</v>
      </c>
      <c r="C79" s="5" t="s">
        <v>12</v>
      </c>
      <c r="D79" s="6">
        <f t="shared" si="63"/>
        <v>0.1056</v>
      </c>
    </row>
    <row r="80" spans="1:49" x14ac:dyDescent="0.2">
      <c r="A80" s="1" t="s">
        <v>188</v>
      </c>
      <c r="B80" s="4">
        <v>133</v>
      </c>
      <c r="C80" s="5" t="s">
        <v>12</v>
      </c>
      <c r="D80" s="6">
        <f t="shared" si="63"/>
        <v>0.13300000000000001</v>
      </c>
    </row>
    <row r="81" spans="1:4" x14ac:dyDescent="0.2">
      <c r="A81" s="1" t="s">
        <v>189</v>
      </c>
      <c r="B81" s="4">
        <v>147.6</v>
      </c>
      <c r="C81" s="5" t="s">
        <v>12</v>
      </c>
      <c r="D81" s="6">
        <f t="shared" si="63"/>
        <v>0.14759999999999998</v>
      </c>
    </row>
    <row r="82" spans="1:4" x14ac:dyDescent="0.2">
      <c r="A82" s="1" t="s">
        <v>190</v>
      </c>
      <c r="B82" s="4">
        <v>90</v>
      </c>
      <c r="C82" s="5" t="s">
        <v>12</v>
      </c>
      <c r="D82" s="6">
        <f t="shared" si="63"/>
        <v>0.09</v>
      </c>
    </row>
    <row r="83" spans="1:4" x14ac:dyDescent="0.2">
      <c r="A83" s="1" t="s">
        <v>191</v>
      </c>
      <c r="B83" s="4">
        <v>96</v>
      </c>
      <c r="C83" s="5" t="s">
        <v>12</v>
      </c>
      <c r="D83" s="6">
        <f t="shared" si="63"/>
        <v>9.6000000000000002E-2</v>
      </c>
    </row>
    <row r="84" spans="1:4" x14ac:dyDescent="0.2">
      <c r="A84" s="1" t="s">
        <v>192</v>
      </c>
      <c r="B84" s="3">
        <v>126.4</v>
      </c>
      <c r="C84" s="5" t="s">
        <v>12</v>
      </c>
      <c r="D84" s="6">
        <f t="shared" si="63"/>
        <v>0.12640000000000001</v>
      </c>
    </row>
    <row r="85" spans="1:4" x14ac:dyDescent="0.2">
      <c r="A85" s="1" t="s">
        <v>193</v>
      </c>
      <c r="B85" s="3">
        <v>119</v>
      </c>
      <c r="C85" s="5" t="s">
        <v>12</v>
      </c>
      <c r="D85" s="6">
        <f t="shared" si="63"/>
        <v>0.11899999999999999</v>
      </c>
    </row>
    <row r="86" spans="1:4" x14ac:dyDescent="0.2">
      <c r="A86" s="1" t="s">
        <v>194</v>
      </c>
      <c r="B86" s="3">
        <v>88</v>
      </c>
      <c r="C86" s="5" t="s">
        <v>12</v>
      </c>
      <c r="D86" s="6">
        <f t="shared" si="63"/>
        <v>8.7999999999999995E-2</v>
      </c>
    </row>
    <row r="87" spans="1:4" x14ac:dyDescent="0.2">
      <c r="A87" s="1" t="s">
        <v>195</v>
      </c>
      <c r="B87" s="3">
        <v>73</v>
      </c>
      <c r="C87" s="5" t="s">
        <v>12</v>
      </c>
      <c r="D87" s="6">
        <f t="shared" si="63"/>
        <v>7.2999999999999995E-2</v>
      </c>
    </row>
    <row r="88" spans="1:4" x14ac:dyDescent="0.2">
      <c r="A88" s="1" t="s">
        <v>92</v>
      </c>
      <c r="B88" s="3">
        <v>138</v>
      </c>
      <c r="C88" s="5" t="s">
        <v>12</v>
      </c>
      <c r="D88" s="6">
        <f t="shared" si="63"/>
        <v>0.13800000000000001</v>
      </c>
    </row>
    <row r="89" spans="1:4" x14ac:dyDescent="0.2">
      <c r="A89" s="1" t="s">
        <v>196</v>
      </c>
      <c r="B89" s="3">
        <v>77</v>
      </c>
      <c r="C89" s="5" t="s">
        <v>12</v>
      </c>
      <c r="D89" s="6">
        <f t="shared" si="63"/>
        <v>7.6999999999999999E-2</v>
      </c>
    </row>
    <row r="90" spans="1:4" x14ac:dyDescent="0.2">
      <c r="A90" s="1" t="s">
        <v>197</v>
      </c>
      <c r="B90" s="3">
        <v>109.2</v>
      </c>
      <c r="C90" s="5" t="s">
        <v>12</v>
      </c>
      <c r="D90" s="6">
        <f t="shared" si="63"/>
        <v>0.10920000000000001</v>
      </c>
    </row>
    <row r="91" spans="1:4" x14ac:dyDescent="0.2">
      <c r="A91" s="1" t="s">
        <v>198</v>
      </c>
      <c r="B91" s="3">
        <v>95</v>
      </c>
      <c r="C91" s="5" t="s">
        <v>12</v>
      </c>
      <c r="D91" s="6">
        <f t="shared" si="63"/>
        <v>9.5000000000000001E-2</v>
      </c>
    </row>
    <row r="92" spans="1:4" x14ac:dyDescent="0.2">
      <c r="A92" s="1" t="s">
        <v>84</v>
      </c>
      <c r="B92" s="3">
        <v>173</v>
      </c>
      <c r="C92" s="5" t="s">
        <v>12</v>
      </c>
      <c r="D92" s="6">
        <f t="shared" si="63"/>
        <v>0.17299999999999999</v>
      </c>
    </row>
    <row r="93" spans="1:4" x14ac:dyDescent="0.2">
      <c r="A93" s="1" t="s">
        <v>199</v>
      </c>
      <c r="B93" s="3">
        <v>198</v>
      </c>
      <c r="C93" s="5" t="s">
        <v>12</v>
      </c>
      <c r="D93" s="6">
        <f t="shared" si="63"/>
        <v>0.19800000000000001</v>
      </c>
    </row>
    <row r="94" spans="1:4" x14ac:dyDescent="0.2">
      <c r="A94" s="13" t="s">
        <v>87</v>
      </c>
      <c r="B94" s="3">
        <v>249</v>
      </c>
      <c r="C94" s="5" t="s">
        <v>12</v>
      </c>
      <c r="D94" s="6">
        <f t="shared" si="63"/>
        <v>0.249</v>
      </c>
    </row>
    <row r="95" spans="1:4" x14ac:dyDescent="0.2">
      <c r="A95" s="1" t="s">
        <v>59</v>
      </c>
      <c r="B95" s="3">
        <v>43.17</v>
      </c>
      <c r="C95" s="5" t="s">
        <v>12</v>
      </c>
      <c r="D95" s="6">
        <f t="shared" si="63"/>
        <v>4.317E-2</v>
      </c>
    </row>
    <row r="96" spans="1:4" x14ac:dyDescent="0.2">
      <c r="A96" s="1" t="s">
        <v>25</v>
      </c>
      <c r="B96" s="3">
        <v>18.84</v>
      </c>
      <c r="C96" s="5" t="s">
        <v>12</v>
      </c>
      <c r="D96" s="6">
        <f t="shared" si="63"/>
        <v>1.8839999999999999E-2</v>
      </c>
    </row>
    <row r="97" spans="1:4" x14ac:dyDescent="0.2">
      <c r="A97" s="1" t="s">
        <v>39</v>
      </c>
      <c r="B97" s="3">
        <v>56.15</v>
      </c>
      <c r="C97" s="5" t="s">
        <v>12</v>
      </c>
      <c r="D97" s="6">
        <f t="shared" si="63"/>
        <v>5.6149999999999999E-2</v>
      </c>
    </row>
    <row r="98" spans="1:4" x14ac:dyDescent="0.2">
      <c r="A98" s="1" t="s">
        <v>24</v>
      </c>
      <c r="B98" s="3">
        <v>76.06</v>
      </c>
      <c r="C98" s="5" t="s">
        <v>12</v>
      </c>
      <c r="D98" s="6">
        <f t="shared" si="63"/>
        <v>7.6060000000000003E-2</v>
      </c>
    </row>
    <row r="99" spans="1:4" x14ac:dyDescent="0.2">
      <c r="A99" s="1" t="s">
        <v>200</v>
      </c>
      <c r="B99" s="3">
        <v>43.5</v>
      </c>
      <c r="C99" s="5" t="s">
        <v>12</v>
      </c>
      <c r="D99" s="6">
        <f t="shared" si="63"/>
        <v>4.3499999999999997E-2</v>
      </c>
    </row>
    <row r="100" spans="1:4" x14ac:dyDescent="0.2">
      <c r="A100" s="1" t="s">
        <v>201</v>
      </c>
      <c r="B100" s="3">
        <v>123.7</v>
      </c>
      <c r="C100" s="5" t="s">
        <v>12</v>
      </c>
      <c r="D100" s="6">
        <f t="shared" si="63"/>
        <v>0.1237</v>
      </c>
    </row>
    <row r="101" spans="1:4" x14ac:dyDescent="0.2">
      <c r="A101" s="1" t="s">
        <v>28</v>
      </c>
      <c r="B101" s="3">
        <v>71</v>
      </c>
      <c r="C101" s="5" t="s">
        <v>12</v>
      </c>
      <c r="D101" s="6">
        <f t="shared" si="63"/>
        <v>7.0999999999999994E-2</v>
      </c>
    </row>
    <row r="102" spans="1:4" x14ac:dyDescent="0.2">
      <c r="A102" s="8" t="s">
        <v>68</v>
      </c>
      <c r="B102" s="14">
        <v>45</v>
      </c>
      <c r="C102" s="15" t="s">
        <v>12</v>
      </c>
      <c r="D102" s="16">
        <f t="shared" si="63"/>
        <v>4.4999999999999998E-2</v>
      </c>
    </row>
    <row r="103" spans="1:4" x14ac:dyDescent="0.2">
      <c r="A103" s="8" t="s">
        <v>34</v>
      </c>
      <c r="B103" s="14">
        <v>188</v>
      </c>
      <c r="C103" s="8" t="s">
        <v>12</v>
      </c>
      <c r="D103" s="14">
        <f t="shared" si="63"/>
        <v>0.188</v>
      </c>
    </row>
    <row r="104" spans="1:4" x14ac:dyDescent="0.2">
      <c r="A104" s="8" t="s">
        <v>202</v>
      </c>
      <c r="B104" s="8">
        <v>139.30000000000001</v>
      </c>
      <c r="C104" s="8" t="s">
        <v>12</v>
      </c>
      <c r="D104" s="14">
        <f t="shared" si="63"/>
        <v>0.13930000000000001</v>
      </c>
    </row>
    <row r="105" spans="1:4" x14ac:dyDescent="0.2">
      <c r="A105" s="8" t="s">
        <v>23</v>
      </c>
      <c r="B105" s="8">
        <v>0</v>
      </c>
      <c r="C105" s="8" t="s">
        <v>12</v>
      </c>
      <c r="D105" s="8">
        <f>B105/1000</f>
        <v>0</v>
      </c>
    </row>
    <row r="106" spans="1:4" x14ac:dyDescent="0.2">
      <c r="A106" s="1" t="s">
        <v>87</v>
      </c>
      <c r="B106" s="1">
        <v>249</v>
      </c>
      <c r="C106" s="1" t="s">
        <v>12</v>
      </c>
      <c r="D106" s="1">
        <f>B106/1000</f>
        <v>0.249</v>
      </c>
    </row>
    <row r="107" spans="1:4" x14ac:dyDescent="0.2">
      <c r="A107" s="1" t="s">
        <v>132</v>
      </c>
      <c r="B107" s="1"/>
      <c r="C107" s="1"/>
      <c r="D107" s="1">
        <f t="shared" ref="D107:D111" si="64">B107/1000</f>
        <v>0</v>
      </c>
    </row>
    <row r="108" spans="1:4" x14ac:dyDescent="0.2">
      <c r="A108" s="1" t="s">
        <v>53</v>
      </c>
      <c r="B108" s="1">
        <v>512</v>
      </c>
      <c r="C108" s="1" t="s">
        <v>12</v>
      </c>
      <c r="D108" s="1">
        <f t="shared" si="64"/>
        <v>0.51200000000000001</v>
      </c>
    </row>
    <row r="109" spans="1:4" x14ac:dyDescent="0.2">
      <c r="A109" s="8" t="s">
        <v>32</v>
      </c>
      <c r="B109" s="8">
        <v>612</v>
      </c>
      <c r="C109" s="8" t="s">
        <v>12</v>
      </c>
      <c r="D109" s="8">
        <f t="shared" si="64"/>
        <v>0.61199999999999999</v>
      </c>
    </row>
    <row r="110" spans="1:4" x14ac:dyDescent="0.2">
      <c r="A110" s="1" t="s">
        <v>203</v>
      </c>
      <c r="B110" s="1">
        <v>612</v>
      </c>
      <c r="C110" s="1" t="s">
        <v>12</v>
      </c>
      <c r="D110" s="1">
        <f t="shared" si="64"/>
        <v>0.61199999999999999</v>
      </c>
    </row>
    <row r="111" spans="1:4" x14ac:dyDescent="0.2">
      <c r="A111" s="8" t="s">
        <v>37</v>
      </c>
      <c r="B111" s="8">
        <v>20.149999999999999</v>
      </c>
      <c r="C111" s="8" t="s">
        <v>61</v>
      </c>
      <c r="D111" s="8">
        <f t="shared" si="64"/>
        <v>2.0149999999999998E-2</v>
      </c>
    </row>
    <row r="112" spans="1:4" x14ac:dyDescent="0.2">
      <c r="A112" s="1" t="s">
        <v>72</v>
      </c>
      <c r="B112" s="1">
        <v>14.6</v>
      </c>
      <c r="C112" s="1" t="s">
        <v>73</v>
      </c>
      <c r="D112" s="1">
        <f>B112*1</f>
        <v>14.6</v>
      </c>
    </row>
    <row r="113" spans="1:4" x14ac:dyDescent="0.2">
      <c r="A113" s="1" t="s">
        <v>455</v>
      </c>
      <c r="B113" s="1"/>
      <c r="C113" s="1"/>
      <c r="D113" s="1"/>
    </row>
    <row r="114" spans="1:4" x14ac:dyDescent="0.2">
      <c r="A114" s="1" t="s">
        <v>466</v>
      </c>
      <c r="B114" s="1">
        <v>176</v>
      </c>
      <c r="C114" s="1" t="s">
        <v>12</v>
      </c>
      <c r="D114" s="1">
        <f>B114/1000</f>
        <v>0.17599999999999999</v>
      </c>
    </row>
  </sheetData>
  <mergeCells count="141">
    <mergeCell ref="AP59:AQ59"/>
    <mergeCell ref="AY59:AZ59"/>
    <mergeCell ref="AV62:AW62"/>
    <mergeCell ref="O49:P49"/>
    <mergeCell ref="L54:M54"/>
    <mergeCell ref="U48:V48"/>
    <mergeCell ref="U49:V49"/>
    <mergeCell ref="R54:S54"/>
    <mergeCell ref="AA47:AB47"/>
    <mergeCell ref="AG48:AH48"/>
    <mergeCell ref="AG49:AH49"/>
    <mergeCell ref="X53:Y53"/>
    <mergeCell ref="AD54:AE54"/>
    <mergeCell ref="F55:G55"/>
    <mergeCell ref="AM57:AN57"/>
    <mergeCell ref="AJ60:AK60"/>
    <mergeCell ref="F34:J34"/>
    <mergeCell ref="L1:P1"/>
    <mergeCell ref="L3:P3"/>
    <mergeCell ref="L13:P13"/>
    <mergeCell ref="L23:P23"/>
    <mergeCell ref="L32:P32"/>
    <mergeCell ref="F1:J1"/>
    <mergeCell ref="F3:J3"/>
    <mergeCell ref="F15:J15"/>
    <mergeCell ref="F25:J25"/>
    <mergeCell ref="R1:V1"/>
    <mergeCell ref="R3:V3"/>
    <mergeCell ref="R13:V13"/>
    <mergeCell ref="R22:V22"/>
    <mergeCell ref="R31:V31"/>
    <mergeCell ref="X1:AB1"/>
    <mergeCell ref="X3:AB3"/>
    <mergeCell ref="X14:AB14"/>
    <mergeCell ref="X24:AB24"/>
    <mergeCell ref="X31:AB31"/>
    <mergeCell ref="I47:J47"/>
    <mergeCell ref="AV33:AZ33"/>
    <mergeCell ref="AV42:AZ42"/>
    <mergeCell ref="AV1:AZ1"/>
    <mergeCell ref="AV3:AZ3"/>
    <mergeCell ref="AV13:AZ13"/>
    <mergeCell ref="AV23:AZ23"/>
    <mergeCell ref="AD1:AH1"/>
    <mergeCell ref="AD3:AH3"/>
    <mergeCell ref="AD13:AH13"/>
    <mergeCell ref="AD22:AH22"/>
    <mergeCell ref="AD31:AH31"/>
    <mergeCell ref="AJ32:AN32"/>
    <mergeCell ref="AJ41:AN41"/>
    <mergeCell ref="AP1:AT1"/>
    <mergeCell ref="AP3:AT3"/>
    <mergeCell ref="AP13:AT13"/>
    <mergeCell ref="AP23:AT23"/>
    <mergeCell ref="AP32:AT32"/>
    <mergeCell ref="AP40:AT40"/>
    <mergeCell ref="AJ1:AN1"/>
    <mergeCell ref="AJ3:AN3"/>
    <mergeCell ref="AJ13:AN13"/>
    <mergeCell ref="AJ23:AN23"/>
    <mergeCell ref="I48:J48"/>
    <mergeCell ref="I49:J49"/>
    <mergeCell ref="I50:J50"/>
    <mergeCell ref="I51:J51"/>
    <mergeCell ref="F42:J42"/>
    <mergeCell ref="I43:J43"/>
    <mergeCell ref="I44:J44"/>
    <mergeCell ref="I45:J45"/>
    <mergeCell ref="I46:J46"/>
    <mergeCell ref="O45:P45"/>
    <mergeCell ref="O46:P46"/>
    <mergeCell ref="O47:P47"/>
    <mergeCell ref="O48:P48"/>
    <mergeCell ref="O50:P50"/>
    <mergeCell ref="L40:P40"/>
    <mergeCell ref="O41:P41"/>
    <mergeCell ref="O42:P42"/>
    <mergeCell ref="O43:P43"/>
    <mergeCell ref="O44:P44"/>
    <mergeCell ref="U44:V44"/>
    <mergeCell ref="U45:V45"/>
    <mergeCell ref="U46:V46"/>
    <mergeCell ref="U47:V47"/>
    <mergeCell ref="U50:V50"/>
    <mergeCell ref="R39:V39"/>
    <mergeCell ref="U40:V40"/>
    <mergeCell ref="U41:V41"/>
    <mergeCell ref="U42:V42"/>
    <mergeCell ref="U43:V43"/>
    <mergeCell ref="AA44:AB44"/>
    <mergeCell ref="AA45:AB45"/>
    <mergeCell ref="AA46:AB46"/>
    <mergeCell ref="AA48:AB48"/>
    <mergeCell ref="AA49:AB49"/>
    <mergeCell ref="X39:AB39"/>
    <mergeCell ref="AA40:AB40"/>
    <mergeCell ref="AA41:AB41"/>
    <mergeCell ref="AA42:AB42"/>
    <mergeCell ref="AA43:AB43"/>
    <mergeCell ref="AG44:AH44"/>
    <mergeCell ref="AG45:AH45"/>
    <mergeCell ref="AG46:AH46"/>
    <mergeCell ref="AG47:AH47"/>
    <mergeCell ref="AG50:AH50"/>
    <mergeCell ref="AD39:AH39"/>
    <mergeCell ref="AG40:AH40"/>
    <mergeCell ref="AG41:AH41"/>
    <mergeCell ref="AG42:AH42"/>
    <mergeCell ref="AG43:AH43"/>
    <mergeCell ref="AM53:AN53"/>
    <mergeCell ref="AM54:AN54"/>
    <mergeCell ref="AM55:AN55"/>
    <mergeCell ref="AM56:AN56"/>
    <mergeCell ref="AM58:AN58"/>
    <mergeCell ref="AJ48:AN48"/>
    <mergeCell ref="AM49:AN49"/>
    <mergeCell ref="AM50:AN50"/>
    <mergeCell ref="AM51:AN51"/>
    <mergeCell ref="AM52:AN52"/>
    <mergeCell ref="AS52:AT52"/>
    <mergeCell ref="AS53:AT53"/>
    <mergeCell ref="AS54:AT54"/>
    <mergeCell ref="AS55:AT55"/>
    <mergeCell ref="AS57:AT57"/>
    <mergeCell ref="AP47:AT47"/>
    <mergeCell ref="AS48:AT48"/>
    <mergeCell ref="AS49:AT49"/>
    <mergeCell ref="AS50:AT50"/>
    <mergeCell ref="AS51:AT51"/>
    <mergeCell ref="AS56:AT56"/>
    <mergeCell ref="AY54:AZ54"/>
    <mergeCell ref="AY55:AZ55"/>
    <mergeCell ref="AY56:AZ56"/>
    <mergeCell ref="AY58:AZ58"/>
    <mergeCell ref="AY60:AZ60"/>
    <mergeCell ref="AV49:AZ49"/>
    <mergeCell ref="AY50:AZ50"/>
    <mergeCell ref="AY51:AZ51"/>
    <mergeCell ref="AY52:AZ52"/>
    <mergeCell ref="AY53:AZ53"/>
    <mergeCell ref="AY57:AZ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 overview</vt:lpstr>
      <vt:lpstr>Pastry Cakes</vt:lpstr>
      <vt:lpstr>Pastry Confects</vt:lpstr>
      <vt:lpstr>Capsules</vt:lpstr>
      <vt:lpstr>Afternoon Tea</vt:lpstr>
      <vt:lpstr>Juniper</vt:lpstr>
      <vt:lpstr>Bread</vt:lpstr>
      <vt:lpstr>Viennoiserie</vt:lpstr>
      <vt:lpstr>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Elizondo</dc:creator>
  <cp:keywords/>
  <dc:description/>
  <cp:lastModifiedBy>Gjestebruker</cp:lastModifiedBy>
  <cp:revision/>
  <dcterms:created xsi:type="dcterms:W3CDTF">2026-03-23T12:40:25Z</dcterms:created>
  <dcterms:modified xsi:type="dcterms:W3CDTF">2026-04-01T08:58:22Z</dcterms:modified>
  <cp:category/>
  <cp:contentStatus/>
</cp:coreProperties>
</file>